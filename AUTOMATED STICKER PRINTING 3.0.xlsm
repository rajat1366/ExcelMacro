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245" windowWidth="14805" windowHeight="6870" activeTab="3"/>
  </bookViews>
  <sheets>
    <sheet name="CU" sheetId="2" r:id="rId1"/>
    <sheet name="BU" sheetId="5" r:id="rId2"/>
    <sheet name="BOX COUNT" sheetId="6" r:id="rId3"/>
    <sheet name="CU &amp; BU" sheetId="8" r:id="rId4"/>
    <sheet name="Boxes" sheetId="9" r:id="rId5"/>
  </sheets>
  <definedNames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G4" s="1"/>
  <c r="C4" s="1"/>
  <c r="B3"/>
  <c r="G3" s="1"/>
  <c r="C3" s="1"/>
  <c r="B5" i="2"/>
  <c r="B6"/>
  <c r="B7"/>
  <c r="B8"/>
  <c r="B9"/>
  <c r="B10"/>
  <c r="B11"/>
  <c r="B12"/>
  <c r="B13"/>
  <c r="B4"/>
  <c r="B3"/>
  <c r="G5" i="5" l="1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<sst xmlns="http://schemas.openxmlformats.org/spreadsheetml/2006/main" count="161" uniqueCount="45">
  <si>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</si>
  <si>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</si>
  <si>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</si>
  <si>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</si>
  <si>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</si>
  <si>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</si>
  <si>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</si>
  <si>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</si>
  <si>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</si>
  <si>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</si>
  <si>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EBUEC64291</t>
  </si>
  <si>
    <t>EBUEC61115</t>
  </si>
  <si>
    <t>EBUEC14314</t>
  </si>
  <si>
    <t>EBUEC22844</t>
  </si>
  <si>
    <t>EBUEC27099</t>
  </si>
  <si>
    <t>EBUEC74711</t>
  </si>
  <si>
    <t>EBUEC19978</t>
  </si>
  <si>
    <t>EBUEC74217</t>
  </si>
  <si>
    <t>EBUEC75955</t>
  </si>
  <si>
    <t>EBUEC65253</t>
  </si>
  <si>
    <t>ECUEB96246</t>
  </si>
  <si>
    <t>09/28/2018</t>
  </si>
  <si>
    <t>ECUEB97701</t>
  </si>
  <si>
    <t>ECUEB97992</t>
  </si>
  <si>
    <t>ECUEB98231</t>
  </si>
  <si>
    <t>ECUEB95972</t>
  </si>
  <si>
    <t>ECUEB96832</t>
  </si>
  <si>
    <t>ECUEB95877</t>
  </si>
  <si>
    <t>ECUEB95979</t>
  </si>
  <si>
    <t>ECUEB95969</t>
  </si>
  <si>
    <t>ECUEB95971</t>
  </si>
  <si>
    <t xml:space="preserve">                BALLOT UNIT BU 7415</t>
  </si>
  <si>
    <t>PASTE ON LEFT</t>
  </si>
  <si>
    <t>In Transit</t>
  </si>
  <si>
    <t>EBUEC22364</t>
  </si>
  <si>
    <t>25442</t>
  </si>
  <si>
    <t>EBUEC27375</t>
  </si>
  <si>
    <t>EBUEC30145</t>
  </si>
  <si>
    <t>EBUEC25530</t>
  </si>
  <si>
    <t>EBUEC23555</t>
  </si>
  <si>
    <t>EBUEC17945</t>
  </si>
  <si>
    <t>EBUEC69359</t>
  </si>
  <si>
    <t>EBUEC22479</t>
  </si>
  <si>
    <t>EBUEC14615</t>
  </si>
  <si>
    <t>EBUEC22971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</si>
</sst>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rgb="FF333333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14" fontId="3" fillId="2" borderId="2" xfId="0" applyNumberFormat="1" applyFont="1" applyFill="1" applyBorder="1" applyAlignment="1">
      <alignment vertical="top" wrapText="1"/>
    </xf>
    <xf numFmtId="14" fontId="3" fillId="2" borderId="3" xfId="0" applyNumberFormat="1" applyFont="1" applyFill="1" applyBorder="1" applyAlignment="1">
      <alignment vertical="top" wrapText="1"/>
    </xf>
    <xf numFmtId="0" fontId="0" fillId="2" borderId="11" xfId="0" applyFill="1" applyBorder="1"/>
    <xf numFmtId="0" fontId="16" fillId="2" borderId="2" xfId="0" applyFont="1" applyFill="1" applyBorder="1" applyAlignment="1">
      <alignment vertical="top" wrapText="1"/>
    </xf>
    <xf numFmtId="0" fontId="16" fillId="2" borderId="3" xfId="0" applyFont="1" applyFill="1" applyBorder="1" applyAlignment="1">
      <alignment vertical="top" wrapText="1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49" fontId="3" fillId="2" borderId="3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 applyAlignment="1">
      <alignment vertical="top" wrapText="1"/>
    </xf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54" t="s">
        <v>5</v>
      </c>
      <c r="C1" s="54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19812</v>
      </c>
      <c r="C3" s="29" t="str">
        <f>G3</f>
        <v>*19812*</v>
      </c>
      <c r="F3" s="3" t="s">
        <v>0</v>
      </c>
      <c r="G3" s="21" t="str">
        <f t="shared" ref="G3" si="0">CONCATENATE(F3,B3,F3)</f>
        <v>*19812*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ECUEB96246</v>
      </c>
      <c r="C4" s="30" t="str">
        <f>G4</f>
        <v>*ECUEB96246*</v>
      </c>
      <c r="E4" s="1"/>
      <c r="F4" t="s">
        <v>0</v>
      </c>
      <c r="G4" s="21" t="str">
        <f t="shared" ref="G4:G13" si="1">CONCATENATE(F4,B4,F4)</f>
        <v>*ECUEB96246*</v>
      </c>
      <c r="O4" s="16">
        <v>1</v>
      </c>
      <c r="P4" s="39" t="s">
        <v>20</v>
      </c>
      <c r="Q4" s="39">
        <v>19812</v>
      </c>
      <c r="R4" s="39" t="s">
        <v>1</v>
      </c>
      <c r="S4" s="39">
        <v>2018</v>
      </c>
      <c r="T4" s="39" t="s">
        <v>21</v>
      </c>
      <c r="U4" s="39" t="s">
        <v>2</v>
      </c>
    </row>
    <row r="5" spans="2:25" ht="30.75" customHeight="1" thickBot="1">
      <c r="B5" s="9" t="str">
        <f t="shared" ref="B5:B13" si="2">P5</f>
        <v>ECUEB97701</v>
      </c>
      <c r="C5" s="31" t="str">
        <f t="shared" ref="C5:C13" si="3">G5</f>
        <v>*ECUEB97701*</v>
      </c>
      <c r="D5" s="5"/>
      <c r="F5" t="s">
        <v>0</v>
      </c>
      <c r="G5" s="21" t="str">
        <f t="shared" si="1"/>
        <v>*ECUEB97701*</v>
      </c>
      <c r="O5" s="16">
        <v>2</v>
      </c>
      <c r="P5" s="38" t="s">
        <v>22</v>
      </c>
      <c r="Q5" s="38">
        <v>19812</v>
      </c>
      <c r="R5" s="38" t="s">
        <v>1</v>
      </c>
      <c r="S5" s="38">
        <v>2018</v>
      </c>
      <c r="T5" s="38" t="s">
        <v>21</v>
      </c>
      <c r="U5" s="38" t="s">
        <v>2</v>
      </c>
    </row>
    <row r="6" spans="2:25" ht="33.75" customHeight="1" thickBot="1">
      <c r="B6" s="9" t="str">
        <f t="shared" si="2"/>
        <v>ECUEB97992</v>
      </c>
      <c r="C6" s="31" t="str">
        <f t="shared" si="3"/>
        <v>*ECUEB97992*</v>
      </c>
      <c r="F6" t="s">
        <v>0</v>
      </c>
      <c r="G6" s="22" t="str">
        <f t="shared" si="1"/>
        <v>*ECUEB97992*</v>
      </c>
      <c r="O6" s="16">
        <v>3</v>
      </c>
      <c r="P6" s="38" t="s">
        <v>23</v>
      </c>
      <c r="Q6" s="38">
        <v>19812</v>
      </c>
      <c r="R6" s="38" t="s">
        <v>1</v>
      </c>
      <c r="S6" s="38">
        <v>2018</v>
      </c>
      <c r="T6" s="38" t="s">
        <v>21</v>
      </c>
      <c r="U6" s="38" t="s">
        <v>2</v>
      </c>
    </row>
    <row r="7" spans="2:25" ht="30.75" customHeight="1" thickBot="1">
      <c r="B7" s="9" t="str">
        <f t="shared" si="2"/>
        <v>ECUEB98231</v>
      </c>
      <c r="C7" s="31" t="str">
        <f t="shared" si="3"/>
        <v>*ECUEB98231*</v>
      </c>
      <c r="F7" t="s">
        <v>0</v>
      </c>
      <c r="G7" s="21" t="str">
        <f t="shared" si="1"/>
        <v>*ECUEB98231*</v>
      </c>
      <c r="O7" s="16">
        <v>4</v>
      </c>
      <c r="P7" s="38" t="s">
        <v>24</v>
      </c>
      <c r="Q7" s="38">
        <v>19812</v>
      </c>
      <c r="R7" s="38" t="s">
        <v>1</v>
      </c>
      <c r="S7" s="38">
        <v>2018</v>
      </c>
      <c r="T7" s="38" t="s">
        <v>21</v>
      </c>
      <c r="U7" s="38" t="s">
        <v>2</v>
      </c>
    </row>
    <row r="8" spans="2:25" ht="33" customHeight="1" thickBot="1">
      <c r="B8" s="9" t="str">
        <f t="shared" si="2"/>
        <v>ECUEB95972</v>
      </c>
      <c r="C8" s="31" t="str">
        <f t="shared" si="3"/>
        <v>*ECUEB95972*</v>
      </c>
      <c r="D8" s="5"/>
      <c r="F8" t="s">
        <v>0</v>
      </c>
      <c r="G8" s="21" t="str">
        <f t="shared" si="1"/>
        <v>*ECUEB95972*</v>
      </c>
      <c r="O8" s="16">
        <v>5</v>
      </c>
      <c r="P8" s="38" t="s">
        <v>25</v>
      </c>
      <c r="Q8" s="38">
        <v>19812</v>
      </c>
      <c r="R8" s="38" t="s">
        <v>1</v>
      </c>
      <c r="S8" s="38">
        <v>2018</v>
      </c>
      <c r="T8" s="38" t="s">
        <v>21</v>
      </c>
      <c r="U8" s="38" t="s">
        <v>2</v>
      </c>
    </row>
    <row r="9" spans="2:25" ht="30" customHeight="1" thickBot="1">
      <c r="B9" s="9" t="str">
        <f t="shared" si="2"/>
        <v>ECUEB96832</v>
      </c>
      <c r="C9" s="31" t="str">
        <f t="shared" si="3"/>
        <v>*ECUEB96832*</v>
      </c>
      <c r="F9" t="s">
        <v>0</v>
      </c>
      <c r="G9" s="21" t="str">
        <f t="shared" si="1"/>
        <v>*ECUEB96832*</v>
      </c>
      <c r="O9" s="16">
        <v>6</v>
      </c>
      <c r="P9" s="38" t="s">
        <v>26</v>
      </c>
      <c r="Q9" s="38">
        <v>19812</v>
      </c>
      <c r="R9" s="38" t="s">
        <v>1</v>
      </c>
      <c r="S9" s="38">
        <v>2018</v>
      </c>
      <c r="T9" s="38" t="s">
        <v>21</v>
      </c>
      <c r="U9" s="38" t="s">
        <v>2</v>
      </c>
    </row>
    <row r="10" spans="2:25" ht="33" customHeight="1" thickBot="1">
      <c r="B10" s="9" t="str">
        <f t="shared" si="2"/>
        <v>ECUEB95877</v>
      </c>
      <c r="C10" s="31" t="str">
        <f t="shared" si="3"/>
        <v>*ECUEB95877*</v>
      </c>
      <c r="F10" t="s">
        <v>0</v>
      </c>
      <c r="G10" s="21" t="str">
        <f t="shared" si="1"/>
        <v>*ECUEB95877*</v>
      </c>
      <c r="O10" s="16">
        <v>7</v>
      </c>
      <c r="P10" s="38" t="s">
        <v>27</v>
      </c>
      <c r="Q10" s="38">
        <v>19812</v>
      </c>
      <c r="R10" s="38" t="s">
        <v>1</v>
      </c>
      <c r="S10" s="38">
        <v>2018</v>
      </c>
      <c r="T10" s="38" t="s">
        <v>21</v>
      </c>
      <c r="U10" s="38" t="s">
        <v>2</v>
      </c>
    </row>
    <row r="11" spans="2:25" ht="30.75" customHeight="1" thickBot="1">
      <c r="B11" s="9" t="str">
        <f t="shared" si="2"/>
        <v>ECUEB95979</v>
      </c>
      <c r="C11" s="31" t="str">
        <f t="shared" si="3"/>
        <v>*ECUEB95979*</v>
      </c>
      <c r="F11" t="s">
        <v>0</v>
      </c>
      <c r="G11" s="21" t="str">
        <f t="shared" si="1"/>
        <v>*ECUEB95979*</v>
      </c>
      <c r="O11" s="16">
        <v>8</v>
      </c>
      <c r="P11" s="38" t="s">
        <v>28</v>
      </c>
      <c r="Q11" s="38">
        <v>19812</v>
      </c>
      <c r="R11" s="38" t="s">
        <v>1</v>
      </c>
      <c r="S11" s="38">
        <v>2018</v>
      </c>
      <c r="T11" s="38" t="s">
        <v>21</v>
      </c>
      <c r="U11" s="38" t="s">
        <v>2</v>
      </c>
      <c r="Y11" t="s">
        <v>8</v>
      </c>
    </row>
    <row r="12" spans="2:25" ht="30.75" customHeight="1" thickBot="1">
      <c r="B12" s="9" t="str">
        <f t="shared" si="2"/>
        <v>ECUEB95969</v>
      </c>
      <c r="C12" s="31" t="str">
        <f t="shared" si="3"/>
        <v>*ECUEB95969*</v>
      </c>
      <c r="F12" t="s">
        <v>0</v>
      </c>
      <c r="G12" s="21" t="str">
        <f t="shared" si="1"/>
        <v>*ECUEB95969*</v>
      </c>
      <c r="O12" s="16">
        <v>9</v>
      </c>
      <c r="P12" s="38" t="s">
        <v>29</v>
      </c>
      <c r="Q12" s="38">
        <v>19812</v>
      </c>
      <c r="R12" s="38" t="s">
        <v>1</v>
      </c>
      <c r="S12" s="38">
        <v>2018</v>
      </c>
      <c r="T12" s="38" t="s">
        <v>21</v>
      </c>
      <c r="U12" s="38" t="s">
        <v>2</v>
      </c>
    </row>
    <row r="13" spans="2:25" ht="33.75" customHeight="1">
      <c r="B13" s="9" t="str">
        <f t="shared" si="2"/>
        <v>ECUEB95971</v>
      </c>
      <c r="C13" s="31" t="str">
        <f t="shared" si="3"/>
        <v>*ECUEB95971*</v>
      </c>
      <c r="F13" t="s">
        <v>0</v>
      </c>
      <c r="G13" s="21" t="str">
        <f t="shared" si="1"/>
        <v>*ECUEB95971*</v>
      </c>
      <c r="O13" s="16">
        <v>10</v>
      </c>
      <c r="P13" s="38" t="s">
        <v>30</v>
      </c>
      <c r="Q13" s="38">
        <v>19812</v>
      </c>
      <c r="R13" s="38" t="s">
        <v>1</v>
      </c>
      <c r="S13" s="38">
        <v>2018</v>
      </c>
      <c r="T13" s="38" t="s">
        <v>21</v>
      </c>
      <c r="U13" s="38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E7" sqref="E7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55" t="s">
        <v>9</v>
      </c>
      <c r="C1" s="55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25328</v>
      </c>
      <c r="C3" s="34" t="str">
        <f>G3</f>
        <v>*25328*</v>
      </c>
      <c r="D3" s="32"/>
      <c r="F3" s="19" t="s">
        <v>0</v>
      </c>
      <c r="G3" t="str">
        <f t="shared" ref="G3:G13" si="0">CONCATENATE(F3,B3,F3)</f>
        <v>*25328*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EBUEC64291</v>
      </c>
      <c r="C4" s="30" t="str">
        <f>G4</f>
        <v>*EBUEC64291*</v>
      </c>
      <c r="D4" s="32"/>
      <c r="E4" s="1"/>
      <c r="F4" s="20" t="s">
        <v>0</v>
      </c>
      <c r="G4" t="str">
        <f t="shared" si="0"/>
        <v>*EBUEC64291*</v>
      </c>
      <c r="O4" s="18">
        <v>1</v>
      </c>
      <c r="P4" s="27" t="s">
        <v>10</v>
      </c>
      <c r="Q4" s="27">
        <v>25328</v>
      </c>
      <c r="R4" s="27" t="s">
        <v>1</v>
      </c>
      <c r="S4" s="27">
        <v>2018</v>
      </c>
      <c r="T4" s="36">
        <v>43368</v>
      </c>
      <c r="U4" s="27" t="s">
        <v>2</v>
      </c>
    </row>
    <row r="5" spans="2:24" ht="30.75" customHeight="1" thickBot="1">
      <c r="B5" s="9" t="str">
        <f t="shared" ref="B5:B13" si="1">P5</f>
        <v>EBUEC61115</v>
      </c>
      <c r="C5" s="31" t="str">
        <f t="shared" ref="C5:C13" si="2">G5</f>
        <v>*EBUEC61115*</v>
      </c>
      <c r="D5" s="33"/>
      <c r="F5" s="20" t="s">
        <v>0</v>
      </c>
      <c r="G5" t="str">
        <f t="shared" si="0"/>
        <v>*EBUEC61115*</v>
      </c>
      <c r="O5" s="18">
        <v>2</v>
      </c>
      <c r="P5" s="26" t="s">
        <v>11</v>
      </c>
      <c r="Q5" s="26">
        <v>25328</v>
      </c>
      <c r="R5" s="26" t="s">
        <v>1</v>
      </c>
      <c r="S5" s="26">
        <v>2018</v>
      </c>
      <c r="T5" s="35">
        <v>43369</v>
      </c>
      <c r="U5" s="26" t="s">
        <v>2</v>
      </c>
    </row>
    <row r="6" spans="2:24" ht="33.75" customHeight="1" thickBot="1">
      <c r="B6" s="9" t="str">
        <f t="shared" si="1"/>
        <v>EBUEC14314</v>
      </c>
      <c r="C6" s="31" t="str">
        <f t="shared" si="2"/>
        <v>*EBUEC14314*</v>
      </c>
      <c r="D6" s="32"/>
      <c r="F6" s="20" t="s">
        <v>0</v>
      </c>
      <c r="G6" s="5" t="str">
        <f t="shared" si="0"/>
        <v>*EBUEC14314*</v>
      </c>
      <c r="O6" s="18">
        <v>3</v>
      </c>
      <c r="P6" s="26" t="s">
        <v>12</v>
      </c>
      <c r="Q6" s="26">
        <v>25328</v>
      </c>
      <c r="R6" s="26" t="s">
        <v>1</v>
      </c>
      <c r="S6" s="26">
        <v>2018</v>
      </c>
      <c r="T6" s="35">
        <v>43369</v>
      </c>
      <c r="U6" s="26" t="s">
        <v>2</v>
      </c>
    </row>
    <row r="7" spans="2:24" ht="30.75" customHeight="1" thickBot="1">
      <c r="B7" s="9" t="str">
        <f t="shared" si="1"/>
        <v>EBUEC22844</v>
      </c>
      <c r="C7" s="31" t="str">
        <f t="shared" si="2"/>
        <v>*EBUEC22844*</v>
      </c>
      <c r="D7" s="32"/>
      <c r="F7" s="20" t="s">
        <v>0</v>
      </c>
      <c r="G7" t="str">
        <f t="shared" si="0"/>
        <v>*EBUEC22844*</v>
      </c>
      <c r="O7" s="18">
        <v>4</v>
      </c>
      <c r="P7" s="26" t="s">
        <v>13</v>
      </c>
      <c r="Q7" s="26">
        <v>25328</v>
      </c>
      <c r="R7" s="26" t="s">
        <v>1</v>
      </c>
      <c r="S7" s="26">
        <v>2018</v>
      </c>
      <c r="T7" s="35">
        <v>43369</v>
      </c>
      <c r="U7" s="26" t="s">
        <v>2</v>
      </c>
    </row>
    <row r="8" spans="2:24" ht="33" customHeight="1" thickBot="1">
      <c r="B8" s="9" t="str">
        <f t="shared" si="1"/>
        <v>EBUEC27099</v>
      </c>
      <c r="C8" s="31" t="str">
        <f t="shared" si="2"/>
        <v>*EBUEC27099*</v>
      </c>
      <c r="D8" s="33"/>
      <c r="F8" s="20" t="s">
        <v>0</v>
      </c>
      <c r="G8" t="str">
        <f t="shared" si="0"/>
        <v>*EBUEC27099*</v>
      </c>
      <c r="O8" s="18">
        <v>5</v>
      </c>
      <c r="P8" s="26" t="s">
        <v>14</v>
      </c>
      <c r="Q8" s="26">
        <v>25328</v>
      </c>
      <c r="R8" s="26" t="s">
        <v>1</v>
      </c>
      <c r="S8" s="26">
        <v>2018</v>
      </c>
      <c r="T8" s="35">
        <v>43369</v>
      </c>
      <c r="U8" s="26" t="s">
        <v>2</v>
      </c>
    </row>
    <row r="9" spans="2:24" ht="30" customHeight="1" thickBot="1">
      <c r="B9" s="9" t="str">
        <f t="shared" si="1"/>
        <v>EBUEC74711</v>
      </c>
      <c r="C9" s="31" t="str">
        <f t="shared" si="2"/>
        <v>*EBUEC74711*</v>
      </c>
      <c r="D9" s="32"/>
      <c r="F9" s="20" t="s">
        <v>0</v>
      </c>
      <c r="G9" t="str">
        <f t="shared" si="0"/>
        <v>*EBUEC74711*</v>
      </c>
      <c r="O9" s="18">
        <v>6</v>
      </c>
      <c r="P9" s="26" t="s">
        <v>15</v>
      </c>
      <c r="Q9" s="26">
        <v>25328</v>
      </c>
      <c r="R9" s="26" t="s">
        <v>1</v>
      </c>
      <c r="S9" s="26">
        <v>2018</v>
      </c>
      <c r="T9" s="35">
        <v>43369</v>
      </c>
      <c r="U9" s="26" t="s">
        <v>2</v>
      </c>
    </row>
    <row r="10" spans="2:24" ht="33" customHeight="1" thickBot="1">
      <c r="B10" s="9" t="str">
        <f t="shared" si="1"/>
        <v>EBUEC19978</v>
      </c>
      <c r="C10" s="31" t="str">
        <f t="shared" si="2"/>
        <v>*EBUEC19978*</v>
      </c>
      <c r="D10" s="32"/>
      <c r="F10" s="20" t="s">
        <v>0</v>
      </c>
      <c r="G10" t="str">
        <f t="shared" si="0"/>
        <v>*EBUEC19978*</v>
      </c>
      <c r="O10" s="18">
        <v>7</v>
      </c>
      <c r="P10" s="26" t="s">
        <v>16</v>
      </c>
      <c r="Q10" s="26">
        <v>25328</v>
      </c>
      <c r="R10" s="26" t="s">
        <v>1</v>
      </c>
      <c r="S10" s="26">
        <v>2018</v>
      </c>
      <c r="T10" s="35">
        <v>43369</v>
      </c>
      <c r="U10" s="26" t="s">
        <v>2</v>
      </c>
    </row>
    <row r="11" spans="2:24" ht="30.75" customHeight="1" thickBot="1">
      <c r="B11" s="9" t="str">
        <f t="shared" si="1"/>
        <v>EBUEC74217</v>
      </c>
      <c r="C11" s="31" t="str">
        <f t="shared" si="2"/>
        <v>*EBUEC74217*</v>
      </c>
      <c r="D11" s="32"/>
      <c r="F11" s="20" t="s">
        <v>0</v>
      </c>
      <c r="G11" t="str">
        <f t="shared" si="0"/>
        <v>*EBUEC74217*</v>
      </c>
      <c r="O11" s="18">
        <v>8</v>
      </c>
      <c r="P11" s="26" t="s">
        <v>17</v>
      </c>
      <c r="Q11" s="26">
        <v>25328</v>
      </c>
      <c r="R11" s="26" t="s">
        <v>1</v>
      </c>
      <c r="S11" s="26">
        <v>2018</v>
      </c>
      <c r="T11" s="35">
        <v>43369</v>
      </c>
      <c r="U11" s="26" t="s">
        <v>2</v>
      </c>
    </row>
    <row r="12" spans="2:24" ht="30.75" customHeight="1" thickBot="1">
      <c r="B12" s="9" t="str">
        <f t="shared" si="1"/>
        <v>EBUEC75955</v>
      </c>
      <c r="C12" s="31" t="str">
        <f t="shared" si="2"/>
        <v>*EBUEC75955*</v>
      </c>
      <c r="D12" s="32"/>
      <c r="F12" s="20" t="s">
        <v>0</v>
      </c>
      <c r="G12" t="str">
        <f t="shared" si="0"/>
        <v>*EBUEC75955*</v>
      </c>
      <c r="O12" s="18">
        <v>9</v>
      </c>
      <c r="P12" s="26" t="s">
        <v>18</v>
      </c>
      <c r="Q12" s="26">
        <v>25328</v>
      </c>
      <c r="R12" s="26" t="s">
        <v>1</v>
      </c>
      <c r="S12" s="26">
        <v>2018</v>
      </c>
      <c r="T12" s="35">
        <v>43369</v>
      </c>
      <c r="U12" s="26" t="s">
        <v>2</v>
      </c>
    </row>
    <row r="13" spans="2:24" ht="31.5" customHeight="1">
      <c r="B13" s="9" t="str">
        <f t="shared" si="1"/>
        <v>EBUEC65253</v>
      </c>
      <c r="C13" s="31" t="str">
        <f t="shared" si="2"/>
        <v>*EBUEC65253*</v>
      </c>
      <c r="D13" s="32"/>
      <c r="F13" s="20" t="s">
        <v>0</v>
      </c>
      <c r="G13" t="str">
        <f t="shared" si="0"/>
        <v>*EBUEC65253*</v>
      </c>
      <c r="O13" s="18">
        <v>10</v>
      </c>
      <c r="P13" s="26" t="s">
        <v>19</v>
      </c>
      <c r="Q13" s="26">
        <v>25328</v>
      </c>
      <c r="R13" s="26" t="s">
        <v>1</v>
      </c>
      <c r="S13" s="26">
        <v>2018</v>
      </c>
      <c r="T13" s="35">
        <v>43369</v>
      </c>
      <c r="U13" s="37"/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ageMargins left="2.5" right="1.2" top="0.5" bottom="0.75" header="0.3" footer="0.3"/>
  <pageSetup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6"/>
  <sheetViews>
    <sheetView workbookViewId="0">
      <selection activeCell="C26" sqref="B1:C26"/>
    </sheetView>
  </sheetViews>
  <sheetFormatPr defaultRowHeight="15"/>
  <cols>
    <col min="2" max="2" width="21.5703125" bestFit="1" customWidth="1"/>
  </cols>
  <sheetData>
    <row r="1" spans="1:1">
      <c r="A1">
        <v>24000</v>
      </c>
    </row>
    <row r="2" spans="1:1">
      <c r="A2">
        <v>24001</v>
      </c>
    </row>
    <row r="3" spans="1:1">
      <c r="A3">
        <v>24002</v>
      </c>
    </row>
    <row r="4" spans="1:1">
      <c r="A4">
        <v>24003</v>
      </c>
    </row>
    <row r="5" spans="1:1">
      <c r="A5">
        <v>24004</v>
      </c>
    </row>
    <row r="6" spans="1:1">
      <c r="A6">
        <v>24005</v>
      </c>
    </row>
    <row r="7" spans="1:1">
      <c r="A7">
        <v>24006</v>
      </c>
    </row>
    <row r="8" spans="1:1">
      <c r="A8">
        <v>24007</v>
      </c>
    </row>
    <row r="9" spans="1:1">
      <c r="A9">
        <v>24008</v>
      </c>
    </row>
    <row r="10" spans="1:1">
      <c r="A10">
        <v>24009</v>
      </c>
    </row>
    <row r="11" spans="1:1">
      <c r="A11">
        <v>24010</v>
      </c>
    </row>
    <row r="12" spans="1:1">
      <c r="A12">
        <v>24011</v>
      </c>
    </row>
    <row r="13" spans="1:1">
      <c r="A13">
        <v>24012</v>
      </c>
    </row>
    <row r="14" spans="1:1">
      <c r="A14">
        <v>24013</v>
      </c>
    </row>
    <row r="15" spans="1:1">
      <c r="A15">
        <v>24014</v>
      </c>
    </row>
    <row r="16" spans="1:1">
      <c r="A16">
        <v>24015</v>
      </c>
    </row>
    <row r="17" spans="1:1">
      <c r="A17">
        <v>24016</v>
      </c>
    </row>
    <row r="18" spans="1:1">
      <c r="A18">
        <v>24017</v>
      </c>
    </row>
    <row r="19" spans="1:1">
      <c r="A19">
        <v>24018</v>
      </c>
    </row>
    <row r="20" spans="1:1">
      <c r="A20">
        <v>24019</v>
      </c>
    </row>
    <row r="21" spans="1:1">
      <c r="A21">
        <v>24020</v>
      </c>
    </row>
    <row r="22" spans="1:1">
      <c r="A22">
        <v>24021</v>
      </c>
    </row>
    <row r="23" spans="1:1">
      <c r="A23">
        <v>24022</v>
      </c>
    </row>
    <row r="24" spans="1:1">
      <c r="A24">
        <v>24023</v>
      </c>
    </row>
    <row r="25" spans="1:1">
      <c r="A25">
        <v>24024</v>
      </c>
    </row>
    <row r="26" spans="1:1">
      <c r="A26">
        <v>24025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18"/>
  <sheetViews>
    <sheetView tabSelected="1" topLeftCell="A10" zoomScale="85" zoomScaleNormal="85" zoomScaleSheetLayoutView="85" workbookViewId="0">
      <selection activeCell="A16" sqref="A16:A163"/>
    </sheetView>
  </sheetViews>
  <sheetFormatPr defaultRowHeight="36.75" customHeight="1"/>
  <cols>
    <col min="1" max="1" width="13.28515625" style="44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44"/>
    <col min="16" max="16" width="18.85546875" style="44" customWidth="1"/>
    <col min="17" max="19" width="9.140625" style="44"/>
    <col min="20" max="20" width="11.140625" style="44" bestFit="1" customWidth="1"/>
    <col min="21" max="21" width="32" style="44" customWidth="1"/>
  </cols>
  <sheetData>
    <row r="1" spans="1:25" ht="27.75" customHeight="1">
      <c r="B1" s="54" t="s">
        <v>31</v>
      </c>
      <c r="C1" s="54"/>
    </row>
    <row r="2" spans="1:25" ht="14.25" customHeight="1">
      <c r="B2" s="43" t="s">
        <v>3</v>
      </c>
      <c r="C2" s="42" t="s">
        <v>3</v>
      </c>
      <c r="O2" s="45"/>
      <c r="P2" s="45"/>
      <c r="Q2" s="45"/>
      <c r="R2" s="45"/>
      <c r="S2" s="45"/>
      <c r="T2" s="45"/>
      <c r="U2" s="45"/>
    </row>
    <row r="3" spans="1:25" ht="26.25" customHeight="1">
      <c r="B3" s="40" t="str">
        <f>Q4</f>
        <v>25442</v>
      </c>
      <c r="C3" s="41" t="str">
        <f>G3</f>
        <v>*25442*</v>
      </c>
      <c r="F3" s="3" t="s">
        <v>0</v>
      </c>
      <c r="G3" s="47" t="str">
        <f t="shared" ref="G3:G13" si="0">CONCATENATE(F3,B3,F3)</f>
        <v>*25442*</v>
      </c>
      <c r="O3" s="45"/>
      <c r="P3" s="46"/>
      <c r="Q3" s="46"/>
      <c r="R3" s="46"/>
      <c r="S3" s="46"/>
      <c r="T3" s="46"/>
      <c r="U3" s="46"/>
    </row>
    <row r="4" spans="1:25" ht="33" customHeight="1" thickBot="1">
      <c r="B4" s="9" t="str">
        <f>P4</f>
        <v>EBUEC22364</v>
      </c>
      <c r="C4" s="30" t="str">
        <f>G4</f>
        <v>*EBUEC22364*</v>
      </c>
      <c r="E4" s="1"/>
      <c r="F4" t="s">
        <v>0</v>
      </c>
      <c r="G4" s="21" t="str">
        <f t="shared" si="0"/>
        <v>*EBUEC22364*</v>
      </c>
      <c r="O4" s="50">
        <v>1</v>
      </c>
      <c r="P4" s="27" t="s">
        <v>34</v>
      </c>
      <c r="Q4" s="48" t="s">
        <v>35</v>
      </c>
      <c r="R4" s="27" t="s">
        <v>1</v>
      </c>
      <c r="S4" s="27">
        <v>2018</v>
      </c>
      <c r="T4" s="36">
        <v>43369</v>
      </c>
      <c r="U4" s="27" t="s">
        <v>33</v>
      </c>
    </row>
    <row r="5" spans="1:25" ht="30.75" customHeight="1" thickBot="1">
      <c r="B5" s="9" t="str">
        <f t="shared" ref="B5:B13" si="1">P5</f>
        <v>EBUEC27375</v>
      </c>
      <c r="C5" s="31" t="str">
        <f t="shared" ref="C5:C13" si="2">G5</f>
        <v>*EBUEC27375*</v>
      </c>
      <c r="D5" s="5"/>
      <c r="F5" t="s">
        <v>0</v>
      </c>
      <c r="G5" s="21" t="str">
        <f t="shared" si="0"/>
        <v>*EBUEC27375*</v>
      </c>
      <c r="O5" s="50">
        <v>2</v>
      </c>
      <c r="P5" s="26" t="s">
        <v>36</v>
      </c>
      <c r="Q5" s="49" t="s">
        <v>35</v>
      </c>
      <c r="R5" s="26" t="s">
        <v>1</v>
      </c>
      <c r="S5" s="26">
        <v>2018</v>
      </c>
      <c r="T5" s="35">
        <v>43369</v>
      </c>
      <c r="U5" s="26" t="s">
        <v>33</v>
      </c>
    </row>
    <row r="6" spans="1:25" ht="33.75" customHeight="1" thickBot="1">
      <c r="B6" s="9" t="str">
        <f t="shared" si="1"/>
        <v>EBUEC30145</v>
      </c>
      <c r="C6" s="31" t="str">
        <f t="shared" si="2"/>
        <v>*EBUEC30145*</v>
      </c>
      <c r="F6" t="s">
        <v>0</v>
      </c>
      <c r="G6" s="22" t="str">
        <f t="shared" si="0"/>
        <v>*EBUEC30145*</v>
      </c>
      <c r="O6" s="50">
        <v>3</v>
      </c>
      <c r="P6" s="26" t="s">
        <v>37</v>
      </c>
      <c r="Q6" s="49" t="s">
        <v>35</v>
      </c>
      <c r="R6" s="26" t="s">
        <v>1</v>
      </c>
      <c r="S6" s="26">
        <v>2018</v>
      </c>
      <c r="T6" s="35">
        <v>43369</v>
      </c>
      <c r="U6" s="26" t="s">
        <v>33</v>
      </c>
    </row>
    <row r="7" spans="1:25" ht="30.75" customHeight="1" thickBot="1">
      <c r="B7" s="9" t="str">
        <f t="shared" si="1"/>
        <v>EBUEC25530</v>
      </c>
      <c r="C7" s="31" t="str">
        <f t="shared" si="2"/>
        <v>*EBUEC25530*</v>
      </c>
      <c r="F7" t="s">
        <v>0</v>
      </c>
      <c r="G7" s="21" t="str">
        <f t="shared" si="0"/>
        <v>*EBUEC25530*</v>
      </c>
      <c r="O7" s="50">
        <v>4</v>
      </c>
      <c r="P7" s="26" t="s">
        <v>38</v>
      </c>
      <c r="Q7" s="49" t="s">
        <v>35</v>
      </c>
      <c r="R7" s="26" t="s">
        <v>1</v>
      </c>
      <c r="S7" s="26">
        <v>2018</v>
      </c>
      <c r="T7" s="35">
        <v>43369</v>
      </c>
      <c r="U7" s="26" t="s">
        <v>33</v>
      </c>
    </row>
    <row r="8" spans="1:25" ht="33" customHeight="1" thickBot="1">
      <c r="B8" s="9" t="str">
        <f t="shared" si="1"/>
        <v>EBUEC23555</v>
      </c>
      <c r="C8" s="31" t="str">
        <f t="shared" si="2"/>
        <v>*EBUEC23555*</v>
      </c>
      <c r="D8" s="5"/>
      <c r="F8" t="s">
        <v>0</v>
      </c>
      <c r="G8" s="21" t="str">
        <f t="shared" si="0"/>
        <v>*EBUEC23555*</v>
      </c>
      <c r="O8" s="50">
        <v>5</v>
      </c>
      <c r="P8" s="26" t="s">
        <v>39</v>
      </c>
      <c r="Q8" s="49" t="s">
        <v>35</v>
      </c>
      <c r="R8" s="26" t="s">
        <v>1</v>
      </c>
      <c r="S8" s="26">
        <v>2018</v>
      </c>
      <c r="T8" s="35">
        <v>43369</v>
      </c>
      <c r="U8" s="26" t="s">
        <v>33</v>
      </c>
    </row>
    <row r="9" spans="1:25" ht="30" customHeight="1" thickBot="1">
      <c r="B9" s="9" t="str">
        <f t="shared" si="1"/>
        <v>EBUEC17945</v>
      </c>
      <c r="C9" s="31" t="str">
        <f t="shared" si="2"/>
        <v>*EBUEC17945*</v>
      </c>
      <c r="F9" t="s">
        <v>0</v>
      </c>
      <c r="G9" s="21" t="str">
        <f t="shared" si="0"/>
        <v>*EBUEC17945*</v>
      </c>
      <c r="O9" s="50">
        <v>6</v>
      </c>
      <c r="P9" s="26" t="s">
        <v>40</v>
      </c>
      <c r="Q9" s="49" t="s">
        <v>35</v>
      </c>
      <c r="R9" s="26" t="s">
        <v>1</v>
      </c>
      <c r="S9" s="26">
        <v>2018</v>
      </c>
      <c r="T9" s="35">
        <v>43369</v>
      </c>
      <c r="U9" s="26" t="s">
        <v>33</v>
      </c>
    </row>
    <row r="10" spans="1:25" ht="33" customHeight="1" thickBot="1">
      <c r="B10" s="9" t="str">
        <f t="shared" si="1"/>
        <v>EBUEC69359</v>
      </c>
      <c r="C10" s="31" t="str">
        <f t="shared" si="2"/>
        <v>*EBUEC69359*</v>
      </c>
      <c r="F10" t="s">
        <v>0</v>
      </c>
      <c r="G10" s="21" t="str">
        <f t="shared" si="0"/>
        <v>*EBUEC69359*</v>
      </c>
      <c r="O10" s="50">
        <v>7</v>
      </c>
      <c r="P10" s="26" t="s">
        <v>41</v>
      </c>
      <c r="Q10" s="49" t="s">
        <v>35</v>
      </c>
      <c r="R10" s="26" t="s">
        <v>1</v>
      </c>
      <c r="S10" s="26">
        <v>2018</v>
      </c>
      <c r="T10" s="35">
        <v>43369</v>
      </c>
      <c r="U10" s="26" t="s">
        <v>33</v>
      </c>
    </row>
    <row r="11" spans="1:25" ht="30.75" customHeight="1" thickBot="1">
      <c r="B11" s="9" t="str">
        <f t="shared" si="1"/>
        <v>EBUEC22479</v>
      </c>
      <c r="C11" s="31" t="str">
        <f t="shared" si="2"/>
        <v>*EBUEC22479*</v>
      </c>
      <c r="F11" t="s">
        <v>0</v>
      </c>
      <c r="G11" s="21" t="str">
        <f t="shared" si="0"/>
        <v>*EBUEC22479*</v>
      </c>
      <c r="O11" s="50">
        <v>8</v>
      </c>
      <c r="P11" s="26" t="s">
        <v>42</v>
      </c>
      <c r="Q11" s="49" t="s">
        <v>35</v>
      </c>
      <c r="R11" s="26" t="s">
        <v>1</v>
      </c>
      <c r="S11" s="26">
        <v>2018</v>
      </c>
      <c r="T11" s="35">
        <v>43369</v>
      </c>
      <c r="U11" s="26" t="s">
        <v>33</v>
      </c>
      <c r="Y11" t="s">
        <v>8</v>
      </c>
    </row>
    <row r="12" spans="1:25" ht="30.75" customHeight="1" thickBot="1">
      <c r="B12" s="9" t="str">
        <f t="shared" si="1"/>
        <v>EBUEC14615</v>
      </c>
      <c r="C12" s="31" t="str">
        <f t="shared" si="2"/>
        <v>*EBUEC14615*</v>
      </c>
      <c r="F12" t="s">
        <v>0</v>
      </c>
      <c r="G12" s="21" t="str">
        <f t="shared" si="0"/>
        <v>*EBUEC14615*</v>
      </c>
      <c r="O12" s="50">
        <v>9</v>
      </c>
      <c r="P12" s="26" t="s">
        <v>43</v>
      </c>
      <c r="Q12" s="49" t="s">
        <v>35</v>
      </c>
      <c r="R12" s="26" t="s">
        <v>1</v>
      </c>
      <c r="S12" s="26">
        <v>2018</v>
      </c>
      <c r="T12" s="35">
        <v>43369</v>
      </c>
      <c r="U12" s="26" t="s">
        <v>33</v>
      </c>
    </row>
    <row r="13" spans="1:25" ht="33.75" customHeight="1">
      <c r="B13" s="9" t="str">
        <f t="shared" si="1"/>
        <v>EBUEC22971</v>
      </c>
      <c r="C13" s="31" t="str">
        <f t="shared" si="2"/>
        <v>*EBUEC22971*</v>
      </c>
      <c r="F13" t="s">
        <v>0</v>
      </c>
      <c r="G13" s="21" t="str">
        <f t="shared" si="0"/>
        <v>*EBUEC22971*</v>
      </c>
      <c r="O13" s="50">
        <v>10</v>
      </c>
      <c r="P13" s="26" t="s">
        <v>44</v>
      </c>
      <c r="Q13" s="49" t="s">
        <v>35</v>
      </c>
      <c r="R13" s="26" t="s">
        <v>1</v>
      </c>
      <c r="S13" s="26">
        <v>2018</v>
      </c>
      <c r="T13" s="35">
        <v>43369</v>
      </c>
      <c r="U13" s="26" t="s">
        <v>33</v>
      </c>
      <c r="X13" s="10"/>
    </row>
    <row r="14" spans="1:25" s="5" customFormat="1" ht="36.75" customHeight="1">
      <c r="A14" s="45"/>
      <c r="B14" s="7"/>
      <c r="C14" s="8"/>
      <c r="O14" s="45"/>
      <c r="P14" s="44"/>
      <c r="Q14" s="44"/>
      <c r="R14" s="44"/>
      <c r="S14" s="44"/>
      <c r="T14" s="44"/>
      <c r="U14" s="44"/>
    </row>
    <row r="15" spans="1:25" ht="36.75" customHeight="1">
      <c r="P15" s="51" t="s">
        <v>6</v>
      </c>
    </row>
    <row r="16" spans="1:25" ht="36.75" customHeight="1">
      <c r="B16" t="s">
        <v>32</v>
      </c>
      <c r="P16" s="52" t="s">
        <v>7</v>
      </c>
    </row>
    <row r="17" spans="3:16" ht="36.75" customHeight="1">
      <c r="C17"/>
      <c r="P17" s="53"/>
    </row>
    <row r="18" spans="3:16" ht="36.75" customHeight="1">
      <c r="C18"/>
      <c r="P18" s="53"/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opLeftCell="A31" workbookViewId="0">
      <selection activeCell="A148" sqref="A1:A148"/>
    </sheetView>
  </sheetViews>
  <sheetFormatPr defaultRowHeight="15"/>
  <cols>
    <col min="1" max="1" width="9.140625" style="44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CU</vt:lpstr>
      <vt:lpstr>BU</vt:lpstr>
      <vt:lpstr>BOX COUNT</vt:lpstr>
      <vt:lpstr>CU &amp; BU</vt:lpstr>
      <vt:lpstr>Boxes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2018-10-11T06:39:37Z</dcterms:modified>
</cp:coreProperties>
</file>