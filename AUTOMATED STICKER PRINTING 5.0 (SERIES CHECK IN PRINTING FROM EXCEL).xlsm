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5.bin" ContentType="application/vnd.openxmlformats-officedocument.oleObject"/>
  <Override PartName="/xl/worksheets/sheet6.xml" ContentType="application/vnd.openxmlformats-officedocument.spreadsheetml.worksheet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245" windowWidth="14805" windowHeight="6870" firstSheet="2" activeTab="5"/>
  </bookViews>
  <sheets>
    <sheet name="CU" sheetId="2" r:id="rId1"/>
    <sheet name="BU" sheetId="5" r:id="rId2"/>
    <sheet name="BOX COUNT" sheetId="6" r:id="rId3"/>
    <sheet name="CU &amp; BU" sheetId="8" r:id="rId4"/>
    <sheet name="Boxes" sheetId="9" r:id="rId5"/>
    <sheet name="UNIT STATUS" sheetId="10" r:id="rId6"/>
  </sheets>
  <definedNames>
    <definedName name="_xlnm.Print_Area" localSheetId="1">BU!$B$1:$C$13</definedName>
    <definedName name="_xlnm.Print_Area" localSheetId="0">CU!$B$1:$C$13</definedName>
    <definedName name="_xlnm.Print_Area" localSheetId="3">'CU &amp; BU'!$B$1:$C$13</definedName>
  </definedNames>
  <calcPr calcId="124519"/>
</workbook>
</file>

<file path=xl/calcChain.xml><?xml version="1.0" encoding="utf-8"?>
<calcChain xmlns="http://schemas.openxmlformats.org/spreadsheetml/2006/main">
  <c r="G4" i="8"/>
  <c r="B5" i="5" l="1"/>
  <c r="B6"/>
  <c r="B7"/>
  <c r="B8"/>
  <c r="B9"/>
  <c r="B10"/>
  <c r="B11"/>
  <c r="B12"/>
  <c r="B13"/>
  <c r="B4"/>
  <c r="B3"/>
  <c r="B13" i="8"/>
  <c r="G13" s="1"/>
  <c r="C13" s="1"/>
  <c r="B12"/>
  <c r="G12" s="1"/>
  <c r="C12" s="1"/>
  <c r="B11"/>
  <c r="G11" s="1"/>
  <c r="C11" s="1"/>
  <c r="B10"/>
  <c r="G10" s="1"/>
  <c r="C10" s="1"/>
  <c r="B9"/>
  <c r="G9" s="1"/>
  <c r="C9" s="1"/>
  <c r="B8"/>
  <c r="G8" s="1"/>
  <c r="C8" s="1"/>
  <c r="B7"/>
  <c r="G7" s="1"/>
  <c r="C7" s="1"/>
  <c r="B6"/>
  <c r="G6" s="1"/>
  <c r="C6" s="1"/>
  <c r="B5"/>
  <c r="G5" s="1"/>
  <c r="C5" s="1"/>
  <c r="B4"/>
  <c r="C4" s="1"/>
  <c r="B3"/>
  <c r="G3" s="1"/>
  <c r="C3" s="1"/>
  <c r="B5" i="2"/>
  <c r="B6"/>
  <c r="B7"/>
  <c r="B8"/>
  <c r="B9"/>
  <c r="B10"/>
  <c r="B11"/>
  <c r="B12"/>
  <c r="B13"/>
  <c r="B4"/>
  <c r="B3"/>
  <c r="G5" i="5" l="1"/>
  <c r="C5" s="1"/>
  <c r="G6"/>
  <c r="C6" s="1"/>
  <c r="G7"/>
  <c r="C7" s="1"/>
  <c r="G8"/>
  <c r="C8" s="1"/>
  <c r="G9"/>
  <c r="C9" s="1"/>
  <c r="G10"/>
  <c r="C10" s="1"/>
  <c r="G11"/>
  <c r="C11" s="1"/>
  <c r="G12"/>
  <c r="C12" s="1"/>
  <c r="G13"/>
  <c r="C13" s="1"/>
  <c r="G4"/>
  <c r="C4" s="1"/>
  <c r="G3"/>
  <c r="C3" s="1"/>
  <c r="G3" i="2"/>
  <c r="G13"/>
  <c r="C13" s="1"/>
  <c r="G6"/>
  <c r="C6" s="1"/>
  <c r="G8"/>
  <c r="C8" s="1"/>
  <c r="G9"/>
  <c r="C9" s="1"/>
  <c r="G11"/>
  <c r="C11" s="1"/>
  <c r="G12"/>
  <c r="C12" s="1"/>
  <c r="G5"/>
  <c r="C5" s="1"/>
  <c r="G4"/>
  <c r="C4" s="1"/>
  <c r="G7"/>
  <c r="C7" s="1"/>
  <c r="G10"/>
  <c r="C10" s="1"/>
  <c r="C3" l="1"/>
</calcChain>
</file>

<file path=xl/sharedStrings.xml><?xml version="1.0" encoding="utf-8"?>
<sst xmlns="http://schemas.openxmlformats.org/spreadsheetml/2006/main" count="235" uniqueCount="95">
  <si>
    <t>*</t>
  </si>
  <si>
    <t>ECIL</t>
  </si>
  <si>
    <t>In the warehouse,working</t>
  </si>
  <si>
    <t>BOX NO.</t>
  </si>
  <si>
    <t>PASTE BELOW</t>
  </si>
  <si>
    <t xml:space="preserve">                 CONTROL UNIT CU 7530</t>
  </si>
  <si>
    <t>Application Support</t>
  </si>
  <si>
    <t>Election Commission of India, Support by Tata Consultancy Services Pvt. Ltd.</t>
  </si>
  <si>
    <t xml:space="preserve"> </t>
  </si>
  <si>
    <t xml:space="preserve">               BALLOT UNIT BU 7415</t>
  </si>
  <si>
    <t>ECUEB96246</t>
  </si>
  <si>
    <t>09/28/2018</t>
  </si>
  <si>
    <t>ECUEB97701</t>
  </si>
  <si>
    <t>ECUEB97992</t>
  </si>
  <si>
    <t>ECUEB98231</t>
  </si>
  <si>
    <t>ECUEB95972</t>
  </si>
  <si>
    <t>ECUEB96832</t>
  </si>
  <si>
    <t>ECUEB95877</t>
  </si>
  <si>
    <t>ECUEB95979</t>
  </si>
  <si>
    <t>ECUEB95969</t>
  </si>
  <si>
    <t>ECUEB95971</t>
  </si>
  <si>
    <t>PASTE ON LEFT</t>
  </si>
  <si>
    <t>In Transit</t>
  </si>
  <si>
    <t>EBUED14300</t>
  </si>
  <si>
    <t>10/16/2018</t>
  </si>
  <si>
    <t>EBUED12354</t>
  </si>
  <si>
    <t>EBUED12533</t>
  </si>
  <si>
    <t>EBUED05739</t>
  </si>
  <si>
    <t>EBUED06969</t>
  </si>
  <si>
    <t>EBUED03634</t>
  </si>
  <si>
    <t>EBUED12907</t>
  </si>
  <si>
    <t>EBUEC74650</t>
  </si>
  <si>
    <t>EBUEC81489</t>
  </si>
  <si>
    <t>EBUEC84185</t>
  </si>
  <si>
    <t xml:space="preserve">                BALLOT UNIT BU 7415</t>
  </si>
  <si>
    <t>2018</t>
  </si>
  <si>
    <t>28769</t>
  </si>
  <si>
    <t>28640</t>
  </si>
  <si>
    <t>28686</t>
  </si>
  <si>
    <t>28370</t>
  </si>
  <si>
    <t>28341</t>
  </si>
  <si>
    <t>28588</t>
  </si>
  <si>
    <t>28439</t>
  </si>
  <si>
    <t>28440</t>
  </si>
  <si>
    <t>28433</t>
  </si>
  <si>
    <t>28449</t>
  </si>
  <si>
    <t>28461</t>
  </si>
  <si>
    <t>28477</t>
  </si>
  <si>
    <t>28438</t>
  </si>
  <si>
    <t>28425</t>
  </si>
  <si>
    <t>28793</t>
  </si>
  <si>
    <t>29044</t>
  </si>
  <si>
    <t>29056</t>
  </si>
  <si>
    <t>28820</t>
  </si>
  <si>
    <t>29045</t>
  </si>
  <si>
    <t>29043</t>
  </si>
  <si>
    <t>28853</t>
  </si>
  <si>
    <t>29052</t>
  </si>
  <si>
    <t>10/15/2018</t>
  </si>
  <si>
    <t>08/21/2018</t>
  </si>
  <si>
    <t>EBUEB96437</t>
  </si>
  <si>
    <t>29354</t>
  </si>
  <si>
    <t>EBUEC75564</t>
  </si>
  <si>
    <t>EBUEC70013</t>
  </si>
  <si>
    <t>EBUEC63958</t>
  </si>
  <si>
    <t>EBUEC63754</t>
  </si>
  <si>
    <t>EBUEC74950</t>
  </si>
  <si>
    <t>EBUEC90339</t>
  </si>
  <si>
    <t>EBUEC93953</t>
  </si>
  <si>
    <t>EBUEC79590</t>
  </si>
  <si>
    <t>EBUEC69433</t>
  </si>
  <si>
    <t>EVTAC44939</t>
  </si>
  <si>
    <t>EVTAC48697</t>
  </si>
  <si>
    <t>EVTAC45455</t>
  </si>
  <si>
    <t>EVTAC48474</t>
  </si>
  <si>
    <t>EVTAC47274</t>
  </si>
  <si>
    <t>EVTAC43758</t>
  </si>
  <si>
    <t>EVTAC40174</t>
  </si>
  <si>
    <t>EVTAC46967</t>
  </si>
  <si>
    <t>EVTAC48870</t>
  </si>
  <si>
    <t>EVTAC44194</t>
  </si>
  <si>
    <t>EVTAC44193</t>
  </si>
  <si>
    <t>EVTAC47819</t>
  </si>
  <si>
    <t>EVTAC44821</t>
  </si>
  <si>
    <t>EVTAC42276</t>
  </si>
  <si>
    <t>EVTAC49386</t>
  </si>
  <si>
    <t>EVTAC46115</t>
  </si>
  <si>
    <t>EVTAC42201</t>
  </si>
  <si>
    <t>EVTAC41364</t>
  </si>
  <si>
    <t>EVTAC44091</t>
  </si>
  <si>
    <t>EVTAC46957</t>
  </si>
  <si>
    <t>EVTAC46980</t>
  </si>
  <si>
    <t>EVTAC45879</t>
  </si>
  <si>
    <t>EVTAC42280</t>
  </si>
  <si>
    <t>EVTAC45758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</si>
</sst>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11"/>
      <color theme="1"/>
      <name val="Free 3 of 9"/>
      <family val="3"/>
    </font>
    <font>
      <sz val="24"/>
      <color theme="1"/>
      <name val="Free 3 of 9"/>
      <family val="3"/>
    </font>
    <font>
      <sz val="11"/>
      <color rgb="FF333333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333333"/>
      <name val="Arial"/>
      <family val="2"/>
      <charset val="204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rgb="FF333333"/>
      <name val="Arial"/>
      <family val="2"/>
      <charset val="204"/>
    </font>
    <font>
      <sz val="18"/>
      <color rgb="FF33333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26"/>
      <color theme="1"/>
      <name val="Free 3 of 9 Extended"/>
    </font>
    <font>
      <sz val="11"/>
      <color theme="1"/>
      <name val=" free"/>
    </font>
    <font>
      <sz val="11"/>
      <color rgb="FF333333"/>
      <name val="Helvetic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 wrapText="1" indent="2"/>
    </xf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6" fillId="2" borderId="0" xfId="0" applyFont="1" applyFill="1" applyBorder="1"/>
    <xf numFmtId="0" fontId="8" fillId="0" borderId="0" xfId="0" applyFont="1" applyAlignment="1">
      <alignment horizontal="left" wrapText="1"/>
    </xf>
    <xf numFmtId="0" fontId="9" fillId="3" borderId="0" xfId="0" applyFont="1" applyFill="1" applyBorder="1" applyAlignment="1">
      <alignment horizontal="center"/>
    </xf>
    <xf numFmtId="0" fontId="0" fillId="0" borderId="0" xfId="0" applyFont="1"/>
    <xf numFmtId="0" fontId="9" fillId="4" borderId="0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/>
    <xf numFmtId="0" fontId="0" fillId="5" borderId="0" xfId="0" applyFill="1"/>
    <xf numFmtId="0" fontId="0" fillId="5" borderId="0" xfId="0" applyFill="1" applyBorder="1"/>
    <xf numFmtId="0" fontId="11" fillId="0" borderId="0" xfId="0" applyFont="1" applyAlignment="1">
      <alignment horizontal="left" wrapText="1"/>
    </xf>
    <xf numFmtId="0" fontId="12" fillId="0" borderId="0" xfId="0" applyFont="1" applyAlignment="1">
      <alignment horizontal="left" wrapText="1"/>
    </xf>
    <xf numFmtId="0" fontId="13" fillId="0" borderId="0" xfId="0" applyFont="1" applyBorder="1"/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0" fontId="3" fillId="2" borderId="10" xfId="0" applyFont="1" applyFill="1" applyBorder="1" applyAlignment="1">
      <alignment vertical="top" wrapText="1"/>
    </xf>
    <xf numFmtId="0" fontId="14" fillId="0" borderId="9" xfId="0" applyFont="1" applyBorder="1" applyAlignment="1" applyProtection="1">
      <alignment horizontal="left" indent="6"/>
      <protection locked="0"/>
    </xf>
    <xf numFmtId="0" fontId="14" fillId="0" borderId="5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0" xfId="0" applyFont="1"/>
    <xf numFmtId="0" fontId="15" fillId="0" borderId="0" xfId="0" applyFont="1" applyBorder="1"/>
    <xf numFmtId="0" fontId="14" fillId="0" borderId="9" xfId="0" applyFont="1" applyBorder="1" applyAlignment="1" applyProtection="1">
      <alignment horizontal="center"/>
      <protection locked="0"/>
    </xf>
    <xf numFmtId="0" fontId="16" fillId="2" borderId="2" xfId="0" applyFont="1" applyFill="1" applyBorder="1" applyAlignment="1">
      <alignment vertical="top" wrapText="1"/>
    </xf>
    <xf numFmtId="0" fontId="16" fillId="2" borderId="3" xfId="0" applyFont="1" applyFill="1" applyBorder="1" applyAlignment="1">
      <alignment vertical="top" wrapText="1"/>
    </xf>
    <xf numFmtId="0" fontId="7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left" indent="6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applyNumberFormat="1" applyBorder="1"/>
    <xf numFmtId="49" fontId="3" fillId="2" borderId="10" xfId="0" applyNumberFormat="1" applyFont="1" applyFill="1" applyBorder="1" applyAlignment="1">
      <alignment vertical="top" wrapText="1"/>
    </xf>
    <xf numFmtId="49" fontId="0" fillId="5" borderId="0" xfId="0" applyNumberFormat="1" applyFill="1"/>
    <xf numFmtId="49" fontId="9" fillId="3" borderId="0" xfId="0" applyNumberFormat="1" applyFont="1" applyFill="1" applyBorder="1" applyAlignment="1">
      <alignment horizontal="center"/>
    </xf>
    <xf numFmtId="49" fontId="12" fillId="0" borderId="0" xfId="0" applyNumberFormat="1" applyFont="1" applyAlignment="1">
      <alignment horizontal="left" wrapText="1"/>
    </xf>
    <xf numFmtId="49" fontId="8" fillId="0" borderId="0" xfId="0" applyNumberFormat="1" applyFont="1" applyAlignment="1">
      <alignment horizontal="left" wrapText="1"/>
    </xf>
    <xf numFmtId="49" fontId="3" fillId="0" borderId="0" xfId="0" applyNumberFormat="1" applyFont="1" applyAlignment="1">
      <alignment horizontal="left" vertical="center" wrapText="1" indent="2"/>
    </xf>
    <xf numFmtId="49" fontId="0" fillId="5" borderId="0" xfId="0" applyNumberFormat="1" applyFill="1" applyBorder="1"/>
    <xf numFmtId="14" fontId="3" fillId="2" borderId="2" xfId="0" applyNumberFormat="1" applyFont="1" applyFill="1" applyBorder="1" applyAlignment="1">
      <alignment vertical="top" wrapText="1"/>
    </xf>
    <xf numFmtId="49" fontId="3" fillId="2" borderId="3" xfId="0" applyNumberFormat="1" applyFont="1" applyFill="1" applyBorder="1" applyAlignment="1">
      <alignment vertical="top" wrapText="1"/>
    </xf>
    <xf numFmtId="49" fontId="3" fillId="2" borderId="2" xfId="0" applyNumberFormat="1" applyFont="1" applyFill="1" applyBorder="1" applyAlignment="1">
      <alignment vertical="top" wrapText="1"/>
    </xf>
    <xf numFmtId="0" fontId="0" fillId="0" borderId="0" xfId="0"/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oleObject" Target="../embeddings/oleObject5.bin"/><Relationship Id="rId4" Type="http://schemas.openxmlformats.org/officeDocument/2006/relationships/oleObject" Target="../embeddings/oleObject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Y18"/>
  <sheetViews>
    <sheetView topLeftCell="A34" workbookViewId="0">
      <selection activeCell="C13" sqref="B1:C13"/>
    </sheetView>
  </sheetViews>
  <sheetFormatPr defaultRowHeight="36.75" customHeight="1"/>
  <cols>
    <col min="1" max="1" width="9.5703125" customWidth="1"/>
    <col min="2" max="2" width="20" customWidth="1"/>
    <col min="3" max="3" width="29.425781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</cols>
  <sheetData>
    <row r="1" spans="2:25" ht="27.75" customHeight="1" thickBot="1">
      <c r="B1" s="54" t="s">
        <v>5</v>
      </c>
      <c r="C1" s="54"/>
    </row>
    <row r="2" spans="2:25" ht="14.2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5" ht="26.25" customHeight="1" thickBot="1">
      <c r="B3" s="13">
        <f>Q4</f>
        <v>19812</v>
      </c>
      <c r="C3" s="29" t="str">
        <f>G3</f>
        <v>*19812*</v>
      </c>
      <c r="F3" s="3" t="s">
        <v>0</v>
      </c>
      <c r="G3" s="21" t="str">
        <f t="shared" ref="G3" si="0">CONCATENATE(F3,B3,F3)</f>
        <v>*19812*</v>
      </c>
      <c r="O3" s="5"/>
      <c r="P3" s="28"/>
      <c r="Q3" s="28"/>
      <c r="R3" s="28"/>
      <c r="S3" s="28"/>
      <c r="T3" s="28"/>
      <c r="U3" s="28"/>
    </row>
    <row r="4" spans="2:25" ht="33" customHeight="1" thickBot="1">
      <c r="B4" s="9" t="str">
        <f>P4</f>
        <v>ECUEB96246</v>
      </c>
      <c r="C4" s="30" t="str">
        <f>G4</f>
        <v>*ECUEB96246*</v>
      </c>
      <c r="E4" s="1"/>
      <c r="F4" t="s">
        <v>0</v>
      </c>
      <c r="G4" s="21" t="str">
        <f t="shared" ref="G4:G13" si="1">CONCATENATE(F4,B4,F4)</f>
        <v>*ECUEB96246*</v>
      </c>
      <c r="O4" s="16">
        <v>1</v>
      </c>
      <c r="P4" s="36" t="s">
        <v>10</v>
      </c>
      <c r="Q4" s="36">
        <v>19812</v>
      </c>
      <c r="R4" s="36" t="s">
        <v>1</v>
      </c>
      <c r="S4" s="36">
        <v>2018</v>
      </c>
      <c r="T4" s="36" t="s">
        <v>11</v>
      </c>
      <c r="U4" s="36" t="s">
        <v>2</v>
      </c>
    </row>
    <row r="5" spans="2:25" ht="30.75" customHeight="1" thickBot="1">
      <c r="B5" s="9" t="str">
        <f t="shared" ref="B5:B13" si="2">P5</f>
        <v>ECUEB97701</v>
      </c>
      <c r="C5" s="31" t="str">
        <f t="shared" ref="C5:C13" si="3">G5</f>
        <v>*ECUEB97701*</v>
      </c>
      <c r="D5" s="5"/>
      <c r="F5" t="s">
        <v>0</v>
      </c>
      <c r="G5" s="21" t="str">
        <f t="shared" si="1"/>
        <v>*ECUEB97701*</v>
      </c>
      <c r="O5" s="16">
        <v>2</v>
      </c>
      <c r="P5" s="35" t="s">
        <v>12</v>
      </c>
      <c r="Q5" s="35">
        <v>19812</v>
      </c>
      <c r="R5" s="35" t="s">
        <v>1</v>
      </c>
      <c r="S5" s="35">
        <v>2018</v>
      </c>
      <c r="T5" s="35" t="s">
        <v>11</v>
      </c>
      <c r="U5" s="35" t="s">
        <v>2</v>
      </c>
    </row>
    <row r="6" spans="2:25" ht="33.75" customHeight="1" thickBot="1">
      <c r="B6" s="9" t="str">
        <f t="shared" si="2"/>
        <v>ECUEB97992</v>
      </c>
      <c r="C6" s="31" t="str">
        <f t="shared" si="3"/>
        <v>*ECUEB97992*</v>
      </c>
      <c r="F6" t="s">
        <v>0</v>
      </c>
      <c r="G6" s="22" t="str">
        <f t="shared" si="1"/>
        <v>*ECUEB97992*</v>
      </c>
      <c r="O6" s="16">
        <v>3</v>
      </c>
      <c r="P6" s="35" t="s">
        <v>13</v>
      </c>
      <c r="Q6" s="35">
        <v>19812</v>
      </c>
      <c r="R6" s="35" t="s">
        <v>1</v>
      </c>
      <c r="S6" s="35">
        <v>2018</v>
      </c>
      <c r="T6" s="35" t="s">
        <v>11</v>
      </c>
      <c r="U6" s="35" t="s">
        <v>2</v>
      </c>
    </row>
    <row r="7" spans="2:25" ht="30.75" customHeight="1" thickBot="1">
      <c r="B7" s="9" t="str">
        <f t="shared" si="2"/>
        <v>ECUEB98231</v>
      </c>
      <c r="C7" s="31" t="str">
        <f t="shared" si="3"/>
        <v>*ECUEB98231*</v>
      </c>
      <c r="F7" t="s">
        <v>0</v>
      </c>
      <c r="G7" s="21" t="str">
        <f t="shared" si="1"/>
        <v>*ECUEB98231*</v>
      </c>
      <c r="O7" s="16">
        <v>4</v>
      </c>
      <c r="P7" s="35" t="s">
        <v>14</v>
      </c>
      <c r="Q7" s="35">
        <v>19812</v>
      </c>
      <c r="R7" s="35" t="s">
        <v>1</v>
      </c>
      <c r="S7" s="35">
        <v>2018</v>
      </c>
      <c r="T7" s="35" t="s">
        <v>11</v>
      </c>
      <c r="U7" s="35" t="s">
        <v>2</v>
      </c>
    </row>
    <row r="8" spans="2:25" ht="33" customHeight="1" thickBot="1">
      <c r="B8" s="9" t="str">
        <f t="shared" si="2"/>
        <v>ECUEB95972</v>
      </c>
      <c r="C8" s="31" t="str">
        <f t="shared" si="3"/>
        <v>*ECUEB95972*</v>
      </c>
      <c r="D8" s="5"/>
      <c r="F8" t="s">
        <v>0</v>
      </c>
      <c r="G8" s="21" t="str">
        <f t="shared" si="1"/>
        <v>*ECUEB95972*</v>
      </c>
      <c r="O8" s="16">
        <v>5</v>
      </c>
      <c r="P8" s="35" t="s">
        <v>15</v>
      </c>
      <c r="Q8" s="35">
        <v>19812</v>
      </c>
      <c r="R8" s="35" t="s">
        <v>1</v>
      </c>
      <c r="S8" s="35">
        <v>2018</v>
      </c>
      <c r="T8" s="35" t="s">
        <v>11</v>
      </c>
      <c r="U8" s="35" t="s">
        <v>2</v>
      </c>
    </row>
    <row r="9" spans="2:25" ht="30" customHeight="1" thickBot="1">
      <c r="B9" s="9" t="str">
        <f t="shared" si="2"/>
        <v>ECUEB96832</v>
      </c>
      <c r="C9" s="31" t="str">
        <f t="shared" si="3"/>
        <v>*ECUEB96832*</v>
      </c>
      <c r="F9" t="s">
        <v>0</v>
      </c>
      <c r="G9" s="21" t="str">
        <f t="shared" si="1"/>
        <v>*ECUEB96832*</v>
      </c>
      <c r="O9" s="16">
        <v>6</v>
      </c>
      <c r="P9" s="35" t="s">
        <v>16</v>
      </c>
      <c r="Q9" s="35">
        <v>19812</v>
      </c>
      <c r="R9" s="35" t="s">
        <v>1</v>
      </c>
      <c r="S9" s="35">
        <v>2018</v>
      </c>
      <c r="T9" s="35" t="s">
        <v>11</v>
      </c>
      <c r="U9" s="35" t="s">
        <v>2</v>
      </c>
    </row>
    <row r="10" spans="2:25" ht="33" customHeight="1" thickBot="1">
      <c r="B10" s="9" t="str">
        <f t="shared" si="2"/>
        <v>ECUEB95877</v>
      </c>
      <c r="C10" s="31" t="str">
        <f t="shared" si="3"/>
        <v>*ECUEB95877*</v>
      </c>
      <c r="F10" t="s">
        <v>0</v>
      </c>
      <c r="G10" s="21" t="str">
        <f t="shared" si="1"/>
        <v>*ECUEB95877*</v>
      </c>
      <c r="O10" s="16">
        <v>7</v>
      </c>
      <c r="P10" s="35" t="s">
        <v>17</v>
      </c>
      <c r="Q10" s="35">
        <v>19812</v>
      </c>
      <c r="R10" s="35" t="s">
        <v>1</v>
      </c>
      <c r="S10" s="35">
        <v>2018</v>
      </c>
      <c r="T10" s="35" t="s">
        <v>11</v>
      </c>
      <c r="U10" s="35" t="s">
        <v>2</v>
      </c>
    </row>
    <row r="11" spans="2:25" ht="30.75" customHeight="1" thickBot="1">
      <c r="B11" s="9" t="str">
        <f t="shared" si="2"/>
        <v>ECUEB95979</v>
      </c>
      <c r="C11" s="31" t="str">
        <f t="shared" si="3"/>
        <v>*ECUEB95979*</v>
      </c>
      <c r="F11" t="s">
        <v>0</v>
      </c>
      <c r="G11" s="21" t="str">
        <f t="shared" si="1"/>
        <v>*ECUEB95979*</v>
      </c>
      <c r="O11" s="16">
        <v>8</v>
      </c>
      <c r="P11" s="35" t="s">
        <v>18</v>
      </c>
      <c r="Q11" s="35">
        <v>19812</v>
      </c>
      <c r="R11" s="35" t="s">
        <v>1</v>
      </c>
      <c r="S11" s="35">
        <v>2018</v>
      </c>
      <c r="T11" s="35" t="s">
        <v>11</v>
      </c>
      <c r="U11" s="35" t="s">
        <v>2</v>
      </c>
      <c r="Y11" t="s">
        <v>8</v>
      </c>
    </row>
    <row r="12" spans="2:25" ht="30.75" customHeight="1" thickBot="1">
      <c r="B12" s="9" t="str">
        <f t="shared" si="2"/>
        <v>ECUEB95969</v>
      </c>
      <c r="C12" s="31" t="str">
        <f t="shared" si="3"/>
        <v>*ECUEB95969*</v>
      </c>
      <c r="F12" t="s">
        <v>0</v>
      </c>
      <c r="G12" s="21" t="str">
        <f t="shared" si="1"/>
        <v>*ECUEB95969*</v>
      </c>
      <c r="O12" s="16">
        <v>9</v>
      </c>
      <c r="P12" s="35" t="s">
        <v>19</v>
      </c>
      <c r="Q12" s="35">
        <v>19812</v>
      </c>
      <c r="R12" s="35" t="s">
        <v>1</v>
      </c>
      <c r="S12" s="35">
        <v>2018</v>
      </c>
      <c r="T12" s="35" t="s">
        <v>11</v>
      </c>
      <c r="U12" s="35" t="s">
        <v>2</v>
      </c>
    </row>
    <row r="13" spans="2:25" ht="33.75" customHeight="1">
      <c r="B13" s="9" t="str">
        <f t="shared" si="2"/>
        <v>ECUEB95971</v>
      </c>
      <c r="C13" s="31" t="str">
        <f t="shared" si="3"/>
        <v>*ECUEB95971*</v>
      </c>
      <c r="F13" t="s">
        <v>0</v>
      </c>
      <c r="G13" s="21" t="str">
        <f t="shared" si="1"/>
        <v>*ECUEB95971*</v>
      </c>
      <c r="O13" s="16">
        <v>10</v>
      </c>
      <c r="P13" s="35" t="s">
        <v>20</v>
      </c>
      <c r="Q13" s="35">
        <v>19812</v>
      </c>
      <c r="R13" s="35" t="s">
        <v>1</v>
      </c>
      <c r="S13" s="35">
        <v>2018</v>
      </c>
      <c r="T13" s="35" t="s">
        <v>11</v>
      </c>
      <c r="U13" s="35" t="s">
        <v>2</v>
      </c>
      <c r="X13" s="10"/>
    </row>
    <row r="14" spans="2:25" s="5" customFormat="1" ht="36.75" customHeight="1">
      <c r="B14" s="7"/>
      <c r="C14" s="8"/>
      <c r="P14"/>
      <c r="Q14"/>
      <c r="R14"/>
      <c r="S14"/>
      <c r="T14"/>
      <c r="U14"/>
    </row>
    <row r="15" spans="2:25" ht="36.75" customHeight="1">
      <c r="P15" s="24" t="s">
        <v>6</v>
      </c>
    </row>
    <row r="16" spans="2:25" ht="36.75" customHeight="1">
      <c r="P16" s="15" t="s">
        <v>7</v>
      </c>
    </row>
    <row r="17" spans="3:16" ht="36.75" customHeight="1">
      <c r="C17"/>
      <c r="P17" s="4"/>
    </row>
    <row r="18" spans="3:16" ht="36.75" customHeight="1">
      <c r="C18"/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scale="97" orientation="portrait" r:id="rId1"/>
  <legacyDrawing r:id="rId2"/>
  <oleObjects>
    <oleObject progId="MS_ClipArt_Gallery" shapeId="1027" r:id="rId3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8"/>
  <sheetViews>
    <sheetView zoomScale="85" zoomScaleNormal="85" workbookViewId="0">
      <selection activeCell="C15" sqref="C15"/>
    </sheetView>
  </sheetViews>
  <sheetFormatPr defaultRowHeight="36.75" customHeight="1"/>
  <cols>
    <col min="1" max="1" width="9.5703125" customWidth="1"/>
    <col min="2" max="2" width="20" customWidth="1"/>
    <col min="3" max="3" width="26.710937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  <col min="22" max="22" width="9.140625" customWidth="1"/>
  </cols>
  <sheetData>
    <row r="1" spans="2:24" ht="31.5" customHeight="1" thickBot="1">
      <c r="B1" s="55" t="s">
        <v>9</v>
      </c>
      <c r="C1" s="55"/>
      <c r="O1" s="17"/>
    </row>
    <row r="2" spans="2:24" ht="13.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4" ht="28.5" customHeight="1" thickBot="1">
      <c r="B3" s="13">
        <f>Q4</f>
        <v>28886</v>
      </c>
      <c r="C3" s="34" t="str">
        <f>G3</f>
        <v>*28886*</v>
      </c>
      <c r="D3" s="32"/>
      <c r="F3" s="19" t="s">
        <v>0</v>
      </c>
      <c r="G3" t="str">
        <f t="shared" ref="G3:G13" si="0">CONCATENATE(F3,B3,F3)</f>
        <v>*28886*</v>
      </c>
      <c r="O3" s="5"/>
      <c r="P3" s="14" t="s">
        <v>4</v>
      </c>
      <c r="Q3" s="6"/>
      <c r="R3" s="6"/>
      <c r="S3" s="6"/>
      <c r="T3" s="6"/>
      <c r="U3" s="6"/>
    </row>
    <row r="4" spans="2:24" ht="32.25" customHeight="1" thickBot="1">
      <c r="B4" s="9" t="str">
        <f>P4</f>
        <v>EBUED14300</v>
      </c>
      <c r="C4" s="30" t="str">
        <f>G4</f>
        <v>*EBUED14300*</v>
      </c>
      <c r="D4" s="32"/>
      <c r="E4" s="1"/>
      <c r="F4" s="20" t="s">
        <v>0</v>
      </c>
      <c r="G4" t="str">
        <f t="shared" si="0"/>
        <v>*EBUED14300*</v>
      </c>
      <c r="O4" s="18">
        <v>1</v>
      </c>
      <c r="P4" s="27" t="s">
        <v>23</v>
      </c>
      <c r="Q4" s="27">
        <v>28886</v>
      </c>
      <c r="R4" s="27" t="s">
        <v>1</v>
      </c>
      <c r="S4" s="27">
        <v>2018</v>
      </c>
      <c r="T4" s="27" t="s">
        <v>24</v>
      </c>
      <c r="U4" s="27" t="s">
        <v>22</v>
      </c>
    </row>
    <row r="5" spans="2:24" ht="30.75" customHeight="1" thickBot="1">
      <c r="B5" s="9" t="str">
        <f t="shared" ref="B5:B13" si="1">P5</f>
        <v>EBUED12354</v>
      </c>
      <c r="C5" s="31" t="str">
        <f t="shared" ref="C5:C13" si="2">G5</f>
        <v>*EBUED12354*</v>
      </c>
      <c r="D5" s="33"/>
      <c r="F5" s="20" t="s">
        <v>0</v>
      </c>
      <c r="G5" t="str">
        <f t="shared" si="0"/>
        <v>*EBUED12354*</v>
      </c>
      <c r="O5" s="18">
        <v>2</v>
      </c>
      <c r="P5" s="26" t="s">
        <v>25</v>
      </c>
      <c r="Q5" s="26">
        <v>28886</v>
      </c>
      <c r="R5" s="26" t="s">
        <v>1</v>
      </c>
      <c r="S5" s="26">
        <v>2018</v>
      </c>
      <c r="T5" s="26" t="s">
        <v>24</v>
      </c>
      <c r="U5" s="26" t="s">
        <v>22</v>
      </c>
    </row>
    <row r="6" spans="2:24" ht="33.75" customHeight="1" thickBot="1">
      <c r="B6" s="9" t="str">
        <f t="shared" si="1"/>
        <v>EBUED12533</v>
      </c>
      <c r="C6" s="31" t="str">
        <f t="shared" si="2"/>
        <v>*EBUED12533*</v>
      </c>
      <c r="D6" s="32"/>
      <c r="F6" s="20" t="s">
        <v>0</v>
      </c>
      <c r="G6" s="5" t="str">
        <f t="shared" si="0"/>
        <v>*EBUED12533*</v>
      </c>
      <c r="O6" s="18">
        <v>3</v>
      </c>
      <c r="P6" s="26" t="s">
        <v>26</v>
      </c>
      <c r="Q6" s="26">
        <v>28886</v>
      </c>
      <c r="R6" s="26" t="s">
        <v>1</v>
      </c>
      <c r="S6" s="26">
        <v>2018</v>
      </c>
      <c r="T6" s="26" t="s">
        <v>24</v>
      </c>
      <c r="U6" s="26" t="s">
        <v>22</v>
      </c>
    </row>
    <row r="7" spans="2:24" ht="30.75" customHeight="1" thickBot="1">
      <c r="B7" s="9" t="str">
        <f t="shared" si="1"/>
        <v>EBUED05739</v>
      </c>
      <c r="C7" s="31" t="str">
        <f t="shared" si="2"/>
        <v>*EBUED05739*</v>
      </c>
      <c r="D7" s="32"/>
      <c r="F7" s="20" t="s">
        <v>0</v>
      </c>
      <c r="G7" t="str">
        <f t="shared" si="0"/>
        <v>*EBUED05739*</v>
      </c>
      <c r="O7" s="18">
        <v>4</v>
      </c>
      <c r="P7" s="26" t="s">
        <v>27</v>
      </c>
      <c r="Q7" s="26">
        <v>28886</v>
      </c>
      <c r="R7" s="26" t="s">
        <v>1</v>
      </c>
      <c r="S7" s="26">
        <v>2018</v>
      </c>
      <c r="T7" s="26" t="s">
        <v>24</v>
      </c>
      <c r="U7" s="26" t="s">
        <v>22</v>
      </c>
    </row>
    <row r="8" spans="2:24" ht="33" customHeight="1" thickBot="1">
      <c r="B8" s="9" t="str">
        <f t="shared" si="1"/>
        <v>EBUED06969</v>
      </c>
      <c r="C8" s="31" t="str">
        <f t="shared" si="2"/>
        <v>*EBUED06969*</v>
      </c>
      <c r="D8" s="33"/>
      <c r="F8" s="20" t="s">
        <v>0</v>
      </c>
      <c r="G8" t="str">
        <f t="shared" si="0"/>
        <v>*EBUED06969*</v>
      </c>
      <c r="O8" s="18">
        <v>5</v>
      </c>
      <c r="P8" s="26" t="s">
        <v>28</v>
      </c>
      <c r="Q8" s="26">
        <v>28886</v>
      </c>
      <c r="R8" s="26" t="s">
        <v>1</v>
      </c>
      <c r="S8" s="26">
        <v>2018</v>
      </c>
      <c r="T8" s="26" t="s">
        <v>24</v>
      </c>
      <c r="U8" s="26" t="s">
        <v>22</v>
      </c>
    </row>
    <row r="9" spans="2:24" ht="30" customHeight="1" thickBot="1">
      <c r="B9" s="9" t="str">
        <f t="shared" si="1"/>
        <v>EBUED03634</v>
      </c>
      <c r="C9" s="31" t="str">
        <f t="shared" si="2"/>
        <v>*EBUED03634*</v>
      </c>
      <c r="D9" s="32"/>
      <c r="F9" s="20" t="s">
        <v>0</v>
      </c>
      <c r="G9" t="str">
        <f t="shared" si="0"/>
        <v>*EBUED03634*</v>
      </c>
      <c r="O9" s="18">
        <v>6</v>
      </c>
      <c r="P9" s="26" t="s">
        <v>29</v>
      </c>
      <c r="Q9" s="26">
        <v>28886</v>
      </c>
      <c r="R9" s="26" t="s">
        <v>1</v>
      </c>
      <c r="S9" s="26">
        <v>2018</v>
      </c>
      <c r="T9" s="26" t="s">
        <v>24</v>
      </c>
      <c r="U9" s="26" t="s">
        <v>22</v>
      </c>
    </row>
    <row r="10" spans="2:24" ht="33" customHeight="1" thickBot="1">
      <c r="B10" s="9" t="str">
        <f t="shared" si="1"/>
        <v>EBUED12907</v>
      </c>
      <c r="C10" s="31" t="str">
        <f t="shared" si="2"/>
        <v>*EBUED12907*</v>
      </c>
      <c r="D10" s="32"/>
      <c r="F10" s="20" t="s">
        <v>0</v>
      </c>
      <c r="G10" t="str">
        <f t="shared" si="0"/>
        <v>*EBUED12907*</v>
      </c>
      <c r="O10" s="18">
        <v>7</v>
      </c>
      <c r="P10" s="26" t="s">
        <v>30</v>
      </c>
      <c r="Q10" s="26">
        <v>28886</v>
      </c>
      <c r="R10" s="26" t="s">
        <v>1</v>
      </c>
      <c r="S10" s="26">
        <v>2018</v>
      </c>
      <c r="T10" s="26" t="s">
        <v>24</v>
      </c>
      <c r="U10" s="26" t="s">
        <v>22</v>
      </c>
    </row>
    <row r="11" spans="2:24" ht="30.75" customHeight="1" thickBot="1">
      <c r="B11" s="9" t="str">
        <f t="shared" si="1"/>
        <v>EBUEC74650</v>
      </c>
      <c r="C11" s="31" t="str">
        <f t="shared" si="2"/>
        <v>*EBUEC74650*</v>
      </c>
      <c r="D11" s="32"/>
      <c r="F11" s="20" t="s">
        <v>0</v>
      </c>
      <c r="G11" t="str">
        <f t="shared" si="0"/>
        <v>*EBUEC74650*</v>
      </c>
      <c r="O11" s="18">
        <v>8</v>
      </c>
      <c r="P11" s="26" t="s">
        <v>31</v>
      </c>
      <c r="Q11" s="26">
        <v>28886</v>
      </c>
      <c r="R11" s="26" t="s">
        <v>1</v>
      </c>
      <c r="S11" s="26">
        <v>2018</v>
      </c>
      <c r="T11" s="50">
        <v>43354</v>
      </c>
      <c r="U11" s="26" t="s">
        <v>2</v>
      </c>
    </row>
    <row r="12" spans="2:24" ht="30.75" customHeight="1" thickBot="1">
      <c r="B12" s="9" t="str">
        <f t="shared" si="1"/>
        <v>EBUEC81489</v>
      </c>
      <c r="C12" s="31" t="str">
        <f t="shared" si="2"/>
        <v>*EBUEC81489*</v>
      </c>
      <c r="D12" s="32"/>
      <c r="F12" s="20" t="s">
        <v>0</v>
      </c>
      <c r="G12" t="str">
        <f t="shared" si="0"/>
        <v>*EBUEC81489*</v>
      </c>
      <c r="O12" s="18">
        <v>9</v>
      </c>
      <c r="P12" s="26" t="s">
        <v>32</v>
      </c>
      <c r="Q12" s="26">
        <v>28886</v>
      </c>
      <c r="R12" s="26" t="s">
        <v>1</v>
      </c>
      <c r="S12" s="26">
        <v>2018</v>
      </c>
      <c r="T12" s="50">
        <v>43354</v>
      </c>
      <c r="U12" s="26" t="s">
        <v>2</v>
      </c>
    </row>
    <row r="13" spans="2:24" ht="31.5" customHeight="1">
      <c r="B13" s="9" t="str">
        <f t="shared" si="1"/>
        <v>EBUEC84185</v>
      </c>
      <c r="C13" s="31" t="str">
        <f t="shared" si="2"/>
        <v>*EBUEC84185*</v>
      </c>
      <c r="D13" s="32"/>
      <c r="F13" s="20" t="s">
        <v>0</v>
      </c>
      <c r="G13" t="str">
        <f t="shared" si="0"/>
        <v>*EBUEC84185*</v>
      </c>
      <c r="O13" s="18">
        <v>10</v>
      </c>
      <c r="P13" s="26" t="s">
        <v>33</v>
      </c>
      <c r="Q13" s="26">
        <v>28886</v>
      </c>
      <c r="R13" s="26" t="s">
        <v>1</v>
      </c>
      <c r="S13" s="26">
        <v>2018</v>
      </c>
      <c r="T13" s="50">
        <v>43354</v>
      </c>
      <c r="U13" s="26" t="s">
        <v>2</v>
      </c>
      <c r="X13" s="10"/>
    </row>
    <row r="14" spans="2:24" s="5" customFormat="1" ht="36.75" customHeight="1">
      <c r="B14" s="7"/>
      <c r="C14" s="8"/>
      <c r="D14" s="25"/>
      <c r="P14"/>
      <c r="Q14"/>
      <c r="R14"/>
      <c r="S14"/>
      <c r="T14"/>
      <c r="U14"/>
    </row>
    <row r="15" spans="2:24" ht="36.75" customHeight="1">
      <c r="P15" s="23" t="s">
        <v>6</v>
      </c>
    </row>
    <row r="16" spans="2:24" ht="36.75" customHeight="1">
      <c r="P16" s="15" t="s">
        <v>7</v>
      </c>
    </row>
    <row r="17" spans="16:16" customFormat="1" ht="36.75" customHeight="1">
      <c r="P17" s="4"/>
    </row>
    <row r="18" spans="16:16" customFormat="1" ht="36.75" customHeight="1"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orientation="portrait" r:id="rId1"/>
  <legacyDrawing r:id="rId2"/>
  <oleObjects>
    <oleObject progId="MS_ClipArt_Gallery" shapeId="4097" r:id="rId3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29"/>
  <sheetViews>
    <sheetView topLeftCell="A6" workbookViewId="0">
      <selection sqref="A1:A29"/>
    </sheetView>
  </sheetViews>
  <sheetFormatPr defaultRowHeight="15"/>
  <cols>
    <col min="1" max="1" width="9.140625" style="41"/>
    <col min="2" max="2" width="21.5703125" bestFit="1" customWidth="1"/>
  </cols>
  <sheetData>
    <row r="1" spans="1:1">
      <c r="A1" s="41" t="s">
        <v>40</v>
      </c>
    </row>
    <row r="2" spans="1:1">
      <c r="A2" s="41" t="s">
        <v>39</v>
      </c>
    </row>
    <row r="3" spans="1:1">
      <c r="A3" s="41" t="s">
        <v>49</v>
      </c>
    </row>
    <row r="4" spans="1:1">
      <c r="A4" s="41" t="s">
        <v>44</v>
      </c>
    </row>
    <row r="5" spans="1:1">
      <c r="A5" s="41" t="s">
        <v>48</v>
      </c>
    </row>
    <row r="6" spans="1:1">
      <c r="A6" s="41" t="s">
        <v>42</v>
      </c>
    </row>
    <row r="7" spans="1:1">
      <c r="A7" s="41" t="s">
        <v>43</v>
      </c>
    </row>
    <row r="8" spans="1:1">
      <c r="A8" s="41" t="s">
        <v>45</v>
      </c>
    </row>
    <row r="9" spans="1:1">
      <c r="A9" s="41" t="s">
        <v>46</v>
      </c>
    </row>
    <row r="10" spans="1:1">
      <c r="A10" s="41" t="s">
        <v>47</v>
      </c>
    </row>
    <row r="11" spans="1:1">
      <c r="A11" s="41" t="s">
        <v>41</v>
      </c>
    </row>
    <row r="12" spans="1:1">
      <c r="A12" s="41" t="s">
        <v>37</v>
      </c>
    </row>
    <row r="13" spans="1:1">
      <c r="A13" s="41" t="s">
        <v>38</v>
      </c>
    </row>
    <row r="14" spans="1:1">
      <c r="A14" s="41" t="s">
        <v>36</v>
      </c>
    </row>
    <row r="15" spans="1:1">
      <c r="A15" s="41" t="s">
        <v>50</v>
      </c>
    </row>
    <row r="16" spans="1:1">
      <c r="A16" s="41" t="s">
        <v>53</v>
      </c>
    </row>
    <row r="17" spans="1:1">
      <c r="A17" s="41" t="s">
        <v>56</v>
      </c>
    </row>
    <row r="18" spans="1:1">
      <c r="A18" s="41" t="s">
        <v>55</v>
      </c>
    </row>
    <row r="19" spans="1:1">
      <c r="A19" s="41" t="s">
        <v>51</v>
      </c>
    </row>
    <row r="20" spans="1:1">
      <c r="A20" s="41" t="s">
        <v>54</v>
      </c>
    </row>
    <row r="21" spans="1:1">
      <c r="A21" s="41" t="s">
        <v>57</v>
      </c>
    </row>
    <row r="22" spans="1:1">
      <c r="A22" s="41" t="s">
        <v>52</v>
      </c>
    </row>
    <row r="23" spans="1:1">
      <c r="A23" s="41">
        <v>29098</v>
      </c>
    </row>
    <row r="24" spans="1:1">
      <c r="A24" s="41">
        <v>29135</v>
      </c>
    </row>
    <row r="25" spans="1:1">
      <c r="A25" s="41">
        <v>29173</v>
      </c>
    </row>
    <row r="26" spans="1:1">
      <c r="A26" s="41">
        <v>29313</v>
      </c>
    </row>
    <row r="27" spans="1:1">
      <c r="A27" s="41">
        <v>29330</v>
      </c>
    </row>
    <row r="28" spans="1:1">
      <c r="A28" s="41">
        <v>29341</v>
      </c>
    </row>
    <row r="29" spans="1:1">
      <c r="A29" s="41">
        <v>29354</v>
      </c>
    </row>
  </sheetData>
  <sortState ref="A1:A29">
    <sortCondition ref="A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Y25"/>
  <sheetViews>
    <sheetView topLeftCell="A22" zoomScale="85" zoomScaleNormal="85" zoomScaleSheetLayoutView="85" workbookViewId="0">
      <selection activeCell="C17" sqref="C17"/>
    </sheetView>
  </sheetViews>
  <sheetFormatPr defaultRowHeight="36.75" customHeight="1"/>
  <cols>
    <col min="1" max="1" width="13.28515625" style="41" customWidth="1"/>
    <col min="2" max="2" width="18.28515625" customWidth="1"/>
    <col min="3" max="3" width="26.285156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5" max="15" width="9.140625" style="41"/>
    <col min="16" max="16" width="18.85546875" style="41" customWidth="1"/>
    <col min="17" max="19" width="9.140625" style="41"/>
    <col min="20" max="20" width="11.140625" style="41" bestFit="1" customWidth="1"/>
    <col min="21" max="21" width="32" style="41" customWidth="1"/>
  </cols>
  <sheetData>
    <row r="1" spans="1:25" ht="27.75" customHeight="1">
      <c r="B1" s="54" t="s">
        <v>34</v>
      </c>
      <c r="C1" s="54"/>
    </row>
    <row r="2" spans="1:25" ht="14.25" customHeight="1">
      <c r="B2" s="40" t="s">
        <v>3</v>
      </c>
      <c r="C2" s="39" t="s">
        <v>3</v>
      </c>
      <c r="O2" s="42"/>
      <c r="P2" s="42"/>
      <c r="Q2" s="42"/>
      <c r="R2" s="42"/>
      <c r="S2" s="42"/>
      <c r="T2" s="42"/>
      <c r="U2" s="42"/>
    </row>
    <row r="3" spans="1:25" ht="26.25" customHeight="1">
      <c r="B3" s="37" t="str">
        <f>Q4</f>
        <v>29354</v>
      </c>
      <c r="C3" s="38" t="str">
        <f>G3</f>
        <v>*29354*</v>
      </c>
      <c r="F3" s="3" t="s">
        <v>0</v>
      </c>
      <c r="G3" s="44" t="str">
        <f t="shared" ref="G3:G13" si="0">CONCATENATE(F3,B3,F3)</f>
        <v>*29354*</v>
      </c>
      <c r="O3" s="42"/>
      <c r="P3" s="43"/>
      <c r="Q3" s="43"/>
      <c r="R3" s="43"/>
      <c r="S3" s="43"/>
      <c r="T3" s="43"/>
      <c r="U3" s="43"/>
    </row>
    <row r="4" spans="1:25" ht="33" customHeight="1" thickBot="1">
      <c r="B4" s="9" t="str">
        <f>P4</f>
        <v>EBUEB96437</v>
      </c>
      <c r="C4" s="30" t="str">
        <f>G4</f>
        <v>*EBUEB96437*</v>
      </c>
      <c r="E4" s="1"/>
      <c r="F4" t="s">
        <v>0</v>
      </c>
      <c r="G4" s="44" t="str">
        <f t="shared" si="0"/>
        <v>*EBUEB96437*</v>
      </c>
      <c r="O4" s="45">
        <v>1</v>
      </c>
      <c r="P4" s="51" t="s">
        <v>60</v>
      </c>
      <c r="Q4" s="51" t="s">
        <v>61</v>
      </c>
      <c r="R4" s="51" t="s">
        <v>1</v>
      </c>
      <c r="S4" s="51" t="s">
        <v>35</v>
      </c>
      <c r="T4" s="51" t="s">
        <v>59</v>
      </c>
      <c r="U4" s="51" t="s">
        <v>2</v>
      </c>
    </row>
    <row r="5" spans="1:25" ht="30.75" customHeight="1" thickBot="1">
      <c r="B5" s="9" t="str">
        <f t="shared" ref="B5:B13" si="1">P5</f>
        <v>EBUEC75564</v>
      </c>
      <c r="C5" s="31" t="str">
        <f t="shared" ref="C5:C13" si="2">G5</f>
        <v>*EBUEC75564*</v>
      </c>
      <c r="D5" s="5"/>
      <c r="F5" t="s">
        <v>0</v>
      </c>
      <c r="G5" s="44" t="str">
        <f t="shared" si="0"/>
        <v>*EBUEC75564*</v>
      </c>
      <c r="O5" s="45">
        <v>2</v>
      </c>
      <c r="P5" s="52" t="s">
        <v>62</v>
      </c>
      <c r="Q5" s="52" t="s">
        <v>61</v>
      </c>
      <c r="R5" s="52" t="s">
        <v>1</v>
      </c>
      <c r="S5" s="52" t="s">
        <v>35</v>
      </c>
      <c r="T5" s="52" t="s">
        <v>58</v>
      </c>
      <c r="U5" s="52" t="s">
        <v>22</v>
      </c>
    </row>
    <row r="6" spans="1:25" ht="33.75" customHeight="1" thickBot="1">
      <c r="B6" s="9" t="str">
        <f t="shared" si="1"/>
        <v>EBUEC70013</v>
      </c>
      <c r="C6" s="31" t="str">
        <f t="shared" si="2"/>
        <v>*EBUEC70013*</v>
      </c>
      <c r="F6" t="s">
        <v>0</v>
      </c>
      <c r="G6" s="49" t="str">
        <f t="shared" si="0"/>
        <v>*EBUEC70013*</v>
      </c>
      <c r="O6" s="45">
        <v>3</v>
      </c>
      <c r="P6" s="52" t="s">
        <v>63</v>
      </c>
      <c r="Q6" s="52" t="s">
        <v>61</v>
      </c>
      <c r="R6" s="52" t="s">
        <v>1</v>
      </c>
      <c r="S6" s="52" t="s">
        <v>35</v>
      </c>
      <c r="T6" s="52" t="s">
        <v>58</v>
      </c>
      <c r="U6" s="52" t="s">
        <v>22</v>
      </c>
    </row>
    <row r="7" spans="1:25" ht="30.75" customHeight="1" thickBot="1">
      <c r="B7" s="9" t="str">
        <f t="shared" si="1"/>
        <v>EBUEC63958</v>
      </c>
      <c r="C7" s="31" t="str">
        <f t="shared" si="2"/>
        <v>*EBUEC63958*</v>
      </c>
      <c r="F7" t="s">
        <v>0</v>
      </c>
      <c r="G7" s="44" t="str">
        <f t="shared" si="0"/>
        <v>*EBUEC63958*</v>
      </c>
      <c r="O7" s="45">
        <v>4</v>
      </c>
      <c r="P7" s="52" t="s">
        <v>64</v>
      </c>
      <c r="Q7" s="52" t="s">
        <v>61</v>
      </c>
      <c r="R7" s="52" t="s">
        <v>1</v>
      </c>
      <c r="S7" s="52" t="s">
        <v>35</v>
      </c>
      <c r="T7" s="52" t="s">
        <v>58</v>
      </c>
      <c r="U7" s="52" t="s">
        <v>22</v>
      </c>
    </row>
    <row r="8" spans="1:25" ht="33" customHeight="1" thickBot="1">
      <c r="B8" s="9" t="str">
        <f t="shared" si="1"/>
        <v>EBUEC63754</v>
      </c>
      <c r="C8" s="31" t="str">
        <f t="shared" si="2"/>
        <v>*EBUEC63754*</v>
      </c>
      <c r="D8" s="5"/>
      <c r="F8" t="s">
        <v>0</v>
      </c>
      <c r="G8" s="44" t="str">
        <f t="shared" si="0"/>
        <v>*EBUEC63754*</v>
      </c>
      <c r="O8" s="45">
        <v>5</v>
      </c>
      <c r="P8" s="52" t="s">
        <v>65</v>
      </c>
      <c r="Q8" s="52" t="s">
        <v>61</v>
      </c>
      <c r="R8" s="52" t="s">
        <v>1</v>
      </c>
      <c r="S8" s="52" t="s">
        <v>35</v>
      </c>
      <c r="T8" s="52" t="s">
        <v>58</v>
      </c>
      <c r="U8" s="52" t="s">
        <v>22</v>
      </c>
    </row>
    <row r="9" spans="1:25" ht="30" customHeight="1" thickBot="1">
      <c r="B9" s="9" t="str">
        <f t="shared" si="1"/>
        <v>EBUEC74950</v>
      </c>
      <c r="C9" s="31" t="str">
        <f t="shared" si="2"/>
        <v>*EBUEC74950*</v>
      </c>
      <c r="F9" t="s">
        <v>0</v>
      </c>
      <c r="G9" s="44" t="str">
        <f t="shared" si="0"/>
        <v>*EBUEC74950*</v>
      </c>
      <c r="O9" s="45">
        <v>6</v>
      </c>
      <c r="P9" s="52" t="s">
        <v>66</v>
      </c>
      <c r="Q9" s="52" t="s">
        <v>61</v>
      </c>
      <c r="R9" s="52" t="s">
        <v>1</v>
      </c>
      <c r="S9" s="52" t="s">
        <v>35</v>
      </c>
      <c r="T9" s="52" t="s">
        <v>58</v>
      </c>
      <c r="U9" s="52" t="s">
        <v>22</v>
      </c>
    </row>
    <row r="10" spans="1:25" ht="33" customHeight="1" thickBot="1">
      <c r="B10" s="9" t="str">
        <f t="shared" si="1"/>
        <v>EBUEC90339</v>
      </c>
      <c r="C10" s="31" t="str">
        <f t="shared" si="2"/>
        <v>*EBUEC90339*</v>
      </c>
      <c r="F10" t="s">
        <v>0</v>
      </c>
      <c r="G10" s="44" t="str">
        <f t="shared" si="0"/>
        <v>*EBUEC90339*</v>
      </c>
      <c r="O10" s="45">
        <v>7</v>
      </c>
      <c r="P10" s="52" t="s">
        <v>67</v>
      </c>
      <c r="Q10" s="52" t="s">
        <v>61</v>
      </c>
      <c r="R10" s="52" t="s">
        <v>1</v>
      </c>
      <c r="S10" s="52" t="s">
        <v>35</v>
      </c>
      <c r="T10" s="52" t="s">
        <v>58</v>
      </c>
      <c r="U10" s="52" t="s">
        <v>22</v>
      </c>
    </row>
    <row r="11" spans="1:25" ht="30.75" customHeight="1" thickBot="1">
      <c r="B11" s="9" t="str">
        <f t="shared" si="1"/>
        <v>EBUEC93953</v>
      </c>
      <c r="C11" s="31" t="str">
        <f t="shared" si="2"/>
        <v>*EBUEC93953*</v>
      </c>
      <c r="F11" t="s">
        <v>0</v>
      </c>
      <c r="G11" s="44" t="str">
        <f t="shared" si="0"/>
        <v>*EBUEC93953*</v>
      </c>
      <c r="O11" s="45">
        <v>8</v>
      </c>
      <c r="P11" s="52" t="s">
        <v>68</v>
      </c>
      <c r="Q11" s="52" t="s">
        <v>61</v>
      </c>
      <c r="R11" s="52" t="s">
        <v>1</v>
      </c>
      <c r="S11" s="52" t="s">
        <v>35</v>
      </c>
      <c r="T11" s="52" t="s">
        <v>58</v>
      </c>
      <c r="U11" s="52" t="s">
        <v>22</v>
      </c>
      <c r="Y11" t="s">
        <v>8</v>
      </c>
    </row>
    <row r="12" spans="1:25" ht="30.75" customHeight="1" thickBot="1">
      <c r="B12" s="9" t="str">
        <f t="shared" si="1"/>
        <v>EBUEC79590</v>
      </c>
      <c r="C12" s="31" t="str">
        <f t="shared" si="2"/>
        <v>*EBUEC79590*</v>
      </c>
      <c r="F12" t="s">
        <v>0</v>
      </c>
      <c r="G12" s="44" t="str">
        <f t="shared" si="0"/>
        <v>*EBUEC79590*</v>
      </c>
      <c r="O12" s="45">
        <v>9</v>
      </c>
      <c r="P12" s="52" t="s">
        <v>69</v>
      </c>
      <c r="Q12" s="52" t="s">
        <v>61</v>
      </c>
      <c r="R12" s="52" t="s">
        <v>1</v>
      </c>
      <c r="S12" s="52" t="s">
        <v>35</v>
      </c>
      <c r="T12" s="52" t="s">
        <v>58</v>
      </c>
      <c r="U12" s="52" t="s">
        <v>22</v>
      </c>
    </row>
    <row r="13" spans="1:25" ht="33.75" customHeight="1">
      <c r="B13" s="9" t="str">
        <f t="shared" si="1"/>
        <v>EBUEC69433</v>
      </c>
      <c r="C13" s="31" t="str">
        <f t="shared" si="2"/>
        <v>*EBUEC69433*</v>
      </c>
      <c r="F13" t="s">
        <v>0</v>
      </c>
      <c r="G13" s="44" t="str">
        <f t="shared" si="0"/>
        <v>*EBUEC69433*</v>
      </c>
      <c r="O13" s="45">
        <v>10</v>
      </c>
      <c r="P13" s="52" t="s">
        <v>70</v>
      </c>
      <c r="Q13" s="52" t="s">
        <v>61</v>
      </c>
      <c r="R13" s="52" t="s">
        <v>1</v>
      </c>
      <c r="S13" s="52" t="s">
        <v>35</v>
      </c>
      <c r="T13" s="52" t="s">
        <v>58</v>
      </c>
      <c r="U13" s="52" t="s">
        <v>22</v>
      </c>
      <c r="X13" s="10"/>
    </row>
    <row r="14" spans="1:25" s="5" customFormat="1" ht="36.75" customHeight="1">
      <c r="A14" s="42"/>
      <c r="B14" s="7"/>
      <c r="C14" s="8"/>
      <c r="O14" s="42"/>
      <c r="P14" s="41"/>
      <c r="Q14" s="41"/>
      <c r="R14" s="41"/>
      <c r="S14" s="41"/>
      <c r="T14" s="41"/>
      <c r="U14" s="41"/>
    </row>
    <row r="15" spans="1:25" ht="36.75" customHeight="1">
      <c r="P15" s="46" t="s">
        <v>6</v>
      </c>
    </row>
    <row r="16" spans="1:25" ht="36.75" customHeight="1">
      <c r="A16" s="53">
        <v>23208</v>
      </c>
      <c r="B16" t="s">
        <v>21</v>
      </c>
      <c r="P16" s="47" t="s">
        <v>7</v>
      </c>
    </row>
    <row r="17" spans="1:16" ht="36.75" customHeight="1">
      <c r="A17" s="53">
        <v>22962</v>
      </c>
      <c r="C17"/>
      <c r="P17" s="48"/>
    </row>
    <row r="18" spans="1:16" ht="36.75" customHeight="1">
      <c r="A18" s="53">
        <v>22945</v>
      </c>
      <c r="C18"/>
      <c r="P18" s="48"/>
    </row>
    <row r="19" spans="1:16" ht="36.75" customHeight="1">
      <c r="A19" s="53">
        <v>22905</v>
      </c>
    </row>
    <row r="20" spans="1:16" ht="36.75" customHeight="1">
      <c r="A20" s="53">
        <v>23002</v>
      </c>
    </row>
    <row r="21" spans="1:16" ht="36.75" customHeight="1">
      <c r="A21" s="53">
        <v>23009</v>
      </c>
    </row>
    <row r="22" spans="1:16" ht="36.75" customHeight="1">
      <c r="A22" s="53">
        <v>22992</v>
      </c>
    </row>
    <row r="23" spans="1:16" ht="36.75" customHeight="1">
      <c r="A23" s="53">
        <v>22884</v>
      </c>
    </row>
    <row r="24" spans="1:16" ht="36.75" customHeight="1">
      <c r="A24" s="53">
        <v>22804</v>
      </c>
    </row>
    <row r="25" spans="1:16" ht="36.75" customHeight="1">
      <c r="A25" s="53">
        <v>22876</v>
      </c>
    </row>
  </sheetData>
  <mergeCells count="1">
    <mergeCell ref="B1:C1"/>
  </mergeCells>
  <printOptions horizontalCentered="1" verticalCentered="1"/>
  <pageMargins left="0" right="0" top="0" bottom="0" header="0" footer="0"/>
  <pageSetup paperSize="70" orientation="portrait" r:id="rId1"/>
  <legacyDrawing r:id="rId2"/>
  <oleObjects>
    <oleObject progId="MS_ClipArt_Gallery" shapeId="7169" r:id="rId3"/>
    <oleObject progId="MS_ClipArt_Gallery" shapeId="7170" r:id="rId4"/>
    <oleObject progId="MS_ClipArt_Gallery" shapeId="7171" r:id="rId5"/>
  </oleObjec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opLeftCell="A31" workbookViewId="0">
      <selection activeCell="A148" sqref="A1:A148"/>
    </sheetView>
  </sheetViews>
  <sheetFormatPr defaultRowHeight="15"/>
  <cols>
    <col min="1" max="1" width="9.140625" style="4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106"/>
  <sheetViews>
    <sheetView tabSelected="1" workbookViewId="0">
      <selection activeCell="I12" sqref="I12"/>
    </sheetView>
  </sheetViews>
  <sheetFormatPr defaultRowHeight="15"/>
  <cols>
    <col min="1" max="3" width="11.7109375" bestFit="1" customWidth="1"/>
  </cols>
  <sheetData>
    <row r="1" spans="1:4">
      <c r="A1" s="53" t="s">
        <v>71</v>
      </c>
      <c r="B1" s="53"/>
      <c r="C1" s="53"/>
      <c r="D1" s="53"/>
    </row>
    <row r="2" spans="1:4">
      <c r="A2" s="53" t="s">
        <v>72</v>
      </c>
      <c r="B2" s="53"/>
      <c r="C2" s="53"/>
      <c r="D2" s="53"/>
    </row>
    <row r="3" spans="1:4">
      <c r="A3" s="53" t="s">
        <v>73</v>
      </c>
      <c r="B3" s="53"/>
      <c r="C3" s="53"/>
      <c r="D3" s="53"/>
    </row>
    <row r="4" spans="1:4">
      <c r="A4" s="53" t="s">
        <v>74</v>
      </c>
      <c r="B4" s="53"/>
      <c r="C4" s="53"/>
      <c r="D4" s="53"/>
    </row>
    <row r="5" spans="1:4">
      <c r="A5" s="53" t="s">
        <v>75</v>
      </c>
      <c r="B5" s="53"/>
      <c r="C5" s="53"/>
      <c r="D5" s="53"/>
    </row>
    <row r="6" spans="1:4">
      <c r="A6" s="53" t="s">
        <v>76</v>
      </c>
      <c r="B6" s="53"/>
      <c r="C6" s="53"/>
      <c r="D6" s="53"/>
    </row>
    <row r="7" spans="1:4">
      <c r="A7" s="53" t="s">
        <v>77</v>
      </c>
      <c r="B7" s="53"/>
      <c r="C7" s="53"/>
      <c r="D7" s="53"/>
    </row>
    <row r="8" spans="1:4">
      <c r="A8" s="53" t="s">
        <v>78</v>
      </c>
      <c r="B8" s="53"/>
      <c r="C8" s="53"/>
      <c r="D8" s="53"/>
    </row>
    <row r="9" spans="1:4">
      <c r="A9" s="53" t="s">
        <v>79</v>
      </c>
      <c r="B9" s="53"/>
      <c r="C9" s="53"/>
      <c r="D9" s="53"/>
    </row>
    <row r="10" spans="1:4">
      <c r="A10" s="53" t="s">
        <v>80</v>
      </c>
      <c r="B10" s="53"/>
      <c r="C10" s="53"/>
      <c r="D10" s="53"/>
    </row>
    <row r="11" spans="1:4">
      <c r="A11" s="53" t="s">
        <v>81</v>
      </c>
      <c r="B11" s="53"/>
      <c r="C11" s="53"/>
      <c r="D11" s="53"/>
    </row>
    <row r="12" spans="1:4">
      <c r="A12" s="53" t="s">
        <v>82</v>
      </c>
      <c r="B12" s="53"/>
      <c r="C12" s="53"/>
      <c r="D12" s="53"/>
    </row>
    <row r="13" spans="1:4">
      <c r="A13" s="53" t="s">
        <v>83</v>
      </c>
      <c r="B13" s="53"/>
      <c r="C13" s="53"/>
      <c r="D13" s="53"/>
    </row>
    <row r="14" spans="1:4">
      <c r="A14" s="53" t="s">
        <v>84</v>
      </c>
      <c r="B14" s="53"/>
      <c r="C14" s="53"/>
      <c r="D14" s="53"/>
    </row>
    <row r="15" spans="1:4">
      <c r="A15" s="53" t="s">
        <v>85</v>
      </c>
      <c r="B15" s="53"/>
      <c r="C15" s="53"/>
      <c r="D15" s="53"/>
    </row>
    <row r="16" spans="1:4">
      <c r="A16" s="53" t="s">
        <v>86</v>
      </c>
      <c r="B16" s="53"/>
      <c r="C16" s="53"/>
      <c r="D16" s="53"/>
    </row>
    <row r="17" spans="1:4">
      <c r="A17" s="53" t="s">
        <v>87</v>
      </c>
      <c r="B17" s="53"/>
      <c r="C17" s="53"/>
      <c r="D17" s="53"/>
    </row>
    <row r="18" spans="1:4">
      <c r="A18" s="53" t="s">
        <v>88</v>
      </c>
      <c r="B18" s="53"/>
      <c r="C18" s="53"/>
      <c r="D18" s="53"/>
    </row>
    <row r="19" spans="1:4">
      <c r="A19" s="53" t="s">
        <v>89</v>
      </c>
      <c r="B19" s="53"/>
      <c r="C19" s="53"/>
      <c r="D19" s="53"/>
    </row>
    <row r="20" spans="1:4">
      <c r="A20" s="53" t="s">
        <v>90</v>
      </c>
      <c r="B20" s="53"/>
      <c r="C20" s="53"/>
      <c r="D20" s="53"/>
    </row>
    <row r="21" spans="1:4">
      <c r="A21" s="53" t="s">
        <v>91</v>
      </c>
      <c r="B21" s="53"/>
      <c r="C21" s="53"/>
      <c r="D21" s="53"/>
    </row>
    <row r="22" spans="1:4">
      <c r="A22" s="53" t="s">
        <v>92</v>
      </c>
      <c r="B22" s="53"/>
      <c r="C22" s="53"/>
      <c r="D22" s="53"/>
    </row>
    <row r="23" spans="1:4">
      <c r="A23" s="53" t="s">
        <v>93</v>
      </c>
      <c r="B23" s="53"/>
      <c r="C23" s="53"/>
      <c r="D23" s="53"/>
    </row>
    <row r="24" spans="1:4">
      <c r="A24" s="53" t="s">
        <v>94</v>
      </c>
      <c r="B24" s="53"/>
      <c r="C24" s="53"/>
      <c r="D24" s="53"/>
    </row>
    <row r="25" spans="1:4">
      <c r="A25" s="53"/>
      <c r="B25" s="53"/>
      <c r="C25" s="53"/>
      <c r="D25" s="53"/>
    </row>
    <row r="26" spans="1:4">
      <c r="A26" s="53"/>
      <c r="B26" s="53"/>
      <c r="C26" s="53"/>
      <c r="D26" s="53"/>
    </row>
    <row r="27" spans="1:4">
      <c r="A27" s="53"/>
      <c r="B27" s="53"/>
      <c r="C27" s="53"/>
      <c r="D27" s="53"/>
    </row>
    <row r="28" spans="1:4">
      <c r="A28" s="53"/>
      <c r="B28" s="53"/>
      <c r="C28" s="53"/>
      <c r="D28" s="53"/>
    </row>
    <row r="29" spans="1:4">
      <c r="A29" s="53"/>
      <c r="B29" s="53"/>
      <c r="C29" s="53"/>
      <c r="D29" s="53"/>
    </row>
    <row r="30" spans="1:4">
      <c r="A30" s="53"/>
      <c r="B30" s="53"/>
      <c r="C30" s="53"/>
      <c r="D30" s="53"/>
    </row>
    <row r="31" spans="1:4">
      <c r="A31" s="53"/>
      <c r="B31" s="53"/>
      <c r="C31" s="53"/>
      <c r="D31" s="53"/>
    </row>
    <row r="32" spans="1:4">
      <c r="A32" s="53"/>
      <c r="B32" s="53"/>
      <c r="C32" s="53"/>
      <c r="D32" s="53"/>
    </row>
    <row r="33" spans="1:4">
      <c r="A33" s="53"/>
      <c r="B33" s="53"/>
      <c r="C33" s="53"/>
      <c r="D33" s="53"/>
    </row>
    <row r="34" spans="1:4">
      <c r="A34" s="53"/>
      <c r="B34" s="53"/>
      <c r="C34" s="53"/>
      <c r="D34" s="53"/>
    </row>
    <row r="35" spans="1:4">
      <c r="A35" s="53"/>
      <c r="B35" s="53"/>
      <c r="C35" s="53"/>
      <c r="D35" s="53"/>
    </row>
    <row r="36" spans="1:4">
      <c r="A36" s="53"/>
      <c r="B36" s="53"/>
      <c r="C36" s="53"/>
      <c r="D36" s="53"/>
    </row>
    <row r="37" spans="1:4">
      <c r="A37" s="53"/>
      <c r="B37" s="53"/>
      <c r="C37" s="53"/>
      <c r="D37" s="53"/>
    </row>
    <row r="38" spans="1:4">
      <c r="A38" s="53"/>
      <c r="B38" s="53"/>
      <c r="C38" s="53"/>
      <c r="D38" s="53"/>
    </row>
    <row r="39" spans="1:4">
      <c r="A39" s="53"/>
      <c r="B39" s="53"/>
      <c r="C39" s="53"/>
      <c r="D39" s="53"/>
    </row>
    <row r="40" spans="1:4">
      <c r="A40" s="53"/>
      <c r="B40" s="53"/>
      <c r="C40" s="53"/>
      <c r="D40" s="53"/>
    </row>
    <row r="41" spans="1:4">
      <c r="A41" s="53"/>
      <c r="B41" s="53"/>
      <c r="C41" s="53"/>
      <c r="D41" s="53"/>
    </row>
    <row r="42" spans="1:4">
      <c r="A42" s="53"/>
      <c r="B42" s="53"/>
      <c r="C42" s="53"/>
      <c r="D42" s="53"/>
    </row>
    <row r="43" spans="1:4">
      <c r="A43" s="53"/>
      <c r="B43" s="53"/>
      <c r="C43" s="53"/>
      <c r="D43" s="53"/>
    </row>
    <row r="44" spans="1:4">
      <c r="A44" s="53"/>
      <c r="B44" s="53"/>
      <c r="C44" s="53"/>
      <c r="D44" s="53"/>
    </row>
    <row r="45" spans="1:4">
      <c r="A45" s="53"/>
      <c r="B45" s="53"/>
      <c r="C45" s="53"/>
      <c r="D45" s="53"/>
    </row>
    <row r="46" spans="1:4">
      <c r="A46" s="53"/>
      <c r="B46" s="53"/>
      <c r="C46" s="53"/>
      <c r="D46" s="53"/>
    </row>
    <row r="47" spans="1:4">
      <c r="A47" s="53"/>
      <c r="B47" s="53"/>
      <c r="C47" s="53"/>
      <c r="D47" s="53"/>
    </row>
    <row r="48" spans="1:4">
      <c r="A48" s="53"/>
      <c r="B48" s="53"/>
      <c r="C48" s="53"/>
      <c r="D48" s="53"/>
    </row>
    <row r="49" spans="1:4">
      <c r="A49" s="53"/>
      <c r="B49" s="53"/>
      <c r="C49" s="53"/>
      <c r="D49" s="53"/>
    </row>
    <row r="50" spans="1:4">
      <c r="A50" s="53"/>
      <c r="B50" s="53"/>
      <c r="C50" s="53"/>
      <c r="D50" s="53"/>
    </row>
    <row r="51" spans="1:4">
      <c r="A51" s="53"/>
      <c r="B51" s="53"/>
      <c r="C51" s="53"/>
      <c r="D51" s="53"/>
    </row>
    <row r="52" spans="1:4">
      <c r="A52" s="53"/>
      <c r="B52" s="53"/>
      <c r="C52" s="53"/>
      <c r="D52" s="53"/>
    </row>
    <row r="53" spans="1:4">
      <c r="A53" s="53"/>
      <c r="B53" s="53"/>
      <c r="C53" s="53"/>
      <c r="D53" s="53"/>
    </row>
    <row r="54" spans="1:4">
      <c r="A54" s="53"/>
      <c r="B54" s="53"/>
      <c r="C54" s="53"/>
      <c r="D54" s="53"/>
    </row>
    <row r="55" spans="1:4">
      <c r="A55" s="53"/>
      <c r="B55" s="53"/>
      <c r="C55" s="53"/>
      <c r="D55" s="53"/>
    </row>
    <row r="56" spans="1:4">
      <c r="A56" s="53"/>
      <c r="B56" s="53"/>
      <c r="C56" s="53"/>
      <c r="D56" s="53"/>
    </row>
    <row r="106" spans="1:4">
      <c r="A106" s="53"/>
      <c r="B106" s="53"/>
      <c r="C106" s="53"/>
      <c r="D106" s="5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CU</vt:lpstr>
      <vt:lpstr>BU</vt:lpstr>
      <vt:lpstr>BOX COUNT</vt:lpstr>
      <vt:lpstr>CU &amp; BU</vt:lpstr>
      <vt:lpstr>Boxes</vt:lpstr>
      <vt:lpstr>UNIT STATUS</vt:lpstr>
      <vt:lpstr>BU!Print_Area</vt:lpstr>
      <vt:lpstr>CU!Print_Area</vt:lpstr>
      <vt:lpstr>'CU &amp; BU'!Print_Area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2018-12-03T07:54:43Z</dcterms:modified>
</cp:coreProperties>
</file>