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5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245" windowWidth="14805" windowHeight="6870" activeTab="3"/>
  </bookViews>
  <sheets>
    <sheet name="CU" sheetId="2" r:id="rId1"/>
    <sheet name="BU" sheetId="5" r:id="rId2"/>
    <sheet name="BOX COUNT" sheetId="6" r:id="rId3"/>
    <sheet name="Sheet3" sheetId="8" r:id="rId4"/>
  </sheets>
  <definedNames>
    <definedName name="_xlnm.Print_Area" localSheetId="1">BU!$B$1:$C$13</definedName>
    <definedName name="_xlnm.Print_Area" localSheetId="0">CU!$B$1:$C$13</definedName>
    <definedName name="_xlnm.Print_Area" localSheetId="3">Sheet3!$B$1:$C$13</definedName>
  </definedNames>
  <calcPr calcId="124519"/>
</workbook>
</file>

<file path=xl/calcChain.xml><?xml version="1.0" encoding="utf-8"?>
<calcChain xmlns="http://schemas.openxmlformats.org/spreadsheetml/2006/main">
  <c r="B5" i="5"/>
  <c r="B6"/>
  <c r="B7"/>
  <c r="B8"/>
  <c r="B9"/>
  <c r="B10"/>
  <c r="B11"/>
  <c r="B12"/>
  <c r="B13"/>
  <c r="B4"/>
  <c r="B3"/>
  <c r="B13" i="8"/>
  <c r="G13" s="1"/>
  <c r="C13" s="1"/>
  <c r="B12"/>
  <c r="G12" s="1"/>
  <c r="C12" s="1"/>
  <c r="B11"/>
  <c r="G11" s="1"/>
  <c r="C11" s="1"/>
  <c r="B10"/>
  <c r="G10" s="1"/>
  <c r="C10" s="1"/>
  <c r="B9"/>
  <c r="G9" s="1"/>
  <c r="C9" s="1"/>
  <c r="B8"/>
  <c r="G8" s="1"/>
  <c r="C8" s="1"/>
  <c r="B7"/>
  <c r="G7" s="1"/>
  <c r="C7" s="1"/>
  <c r="B6"/>
  <c r="G6" s="1"/>
  <c r="C6" s="1"/>
  <c r="B5"/>
  <c r="G5" s="1"/>
  <c r="C5" s="1"/>
  <c r="B4"/>
  <c r="G4" s="1"/>
  <c r="C4" s="1"/>
  <c r="B3"/>
  <c r="G3" s="1"/>
  <c r="C3" s="1"/>
  <c r="B5" i="2"/>
  <c r="B6"/>
  <c r="B7"/>
  <c r="B8"/>
  <c r="B9"/>
  <c r="B10"/>
  <c r="B11"/>
  <c r="B12"/>
  <c r="B13"/>
  <c r="B4"/>
  <c r="B3"/>
  <c r="G5" i="5" l="1"/>
  <c r="C5" s="1"/>
  <c r="G6"/>
  <c r="C6" s="1"/>
  <c r="G7"/>
  <c r="C7" s="1"/>
  <c r="G8"/>
  <c r="C8" s="1"/>
  <c r="G9"/>
  <c r="C9" s="1"/>
  <c r="G10"/>
  <c r="C10" s="1"/>
  <c r="G11"/>
  <c r="C11" s="1"/>
  <c r="G12"/>
  <c r="C12" s="1"/>
  <c r="G13"/>
  <c r="C13" s="1"/>
  <c r="G4"/>
  <c r="C4" s="1"/>
  <c r="G3"/>
  <c r="C3" s="1"/>
  <c r="G3" i="2"/>
  <c r="G13"/>
  <c r="C13" s="1"/>
  <c r="G6"/>
  <c r="C6" s="1"/>
  <c r="G8"/>
  <c r="C8" s="1"/>
  <c r="G9"/>
  <c r="C9" s="1"/>
  <c r="G11"/>
  <c r="C11" s="1"/>
  <c r="G12"/>
  <c r="C12" s="1"/>
  <c r="G5"/>
  <c r="C5" s="1"/>
  <c r="G4"/>
  <c r="C4" s="1"/>
  <c r="G7"/>
  <c r="C7" s="1"/>
  <c r="G10"/>
  <c r="C10" s="1"/>
  <c r="C3" l="1"/>
</calcChain>
</file>

<file path=xl/sharedStrings.xml><?xml version="1.0" encoding="utf-8"?>
<sst xmlns="http://schemas.openxmlformats.org/spreadsheetml/2006/main" count="147" uniqueCount="43">
  <si>
    <t>*</t>
  </si>
  <si>
    <t>ECIL</t>
  </si>
  <si>
    <t>In the warehouse,working</t>
  </si>
  <si>
    <t>BOX NO.</t>
  </si>
  <si>
    <t>PASTE BELOW</t>
  </si>
  <si>
    <t xml:space="preserve">                 CONTROL UNIT CU 7530</t>
  </si>
  <si>
    <t>Application Support</t>
  </si>
  <si>
    <t>Election Commission of India, Support by Tata Consultancy Services Pvt. Ltd.</t>
  </si>
  <si>
    <t xml:space="preserve"> </t>
  </si>
  <si>
    <t xml:space="preserve">               BALLOT UNIT BU 7415</t>
  </si>
  <si>
    <t>09/26/2018</t>
  </si>
  <si>
    <t>ECUEB87153</t>
  </si>
  <si>
    <t>ECUEB87094</t>
  </si>
  <si>
    <t>ECUEB87286</t>
  </si>
  <si>
    <t>ECUEB87246</t>
  </si>
  <si>
    <t>ECUEB91759</t>
  </si>
  <si>
    <t>ECUEB92025</t>
  </si>
  <si>
    <t>ECUEB91869</t>
  </si>
  <si>
    <t>ECUEB91675</t>
  </si>
  <si>
    <t>ECUEB91607</t>
  </si>
  <si>
    <t>ECUEB91860</t>
  </si>
  <si>
    <t>EBUEC64291</t>
  </si>
  <si>
    <t>EBUEC61115</t>
  </si>
  <si>
    <t>EBUEC14314</t>
  </si>
  <si>
    <t>EBUEC22844</t>
  </si>
  <si>
    <t>EBUEC27099</t>
  </si>
  <si>
    <t>EBUEC74711</t>
  </si>
  <si>
    <t>EBUEC19978</t>
  </si>
  <si>
    <t>EBUEC74217</t>
  </si>
  <si>
    <t>EBUEC75955</t>
  </si>
  <si>
    <t>EBUEC65253</t>
  </si>
  <si>
    <t xml:space="preserve">                BALLOT UNIT BU 7415</t>
  </si>
  <si>
    <t>EBUEC70415</t>
  </si>
  <si>
    <t>In Transit</t>
  </si>
  <si>
    <t>EBUEC72180</t>
  </si>
  <si>
    <t>EBUEC59579</t>
  </si>
  <si>
    <t>EBUEC70945</t>
  </si>
  <si>
    <t>EBUEC74948</t>
  </si>
  <si>
    <t>EBUEC73244</t>
  </si>
  <si>
    <t>EBUEC59797</t>
  </si>
  <si>
    <t>EBUEC73477</t>
  </si>
  <si>
    <t>EBUEC58184</t>
  </si>
  <si>
    <t>EBUEC18277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</si>
</sst>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1"/>
      <color theme="1"/>
      <name val="Free 3 of 9"/>
      <family val="3"/>
    </font>
    <font>
      <sz val="24"/>
      <color theme="1"/>
      <name val="Free 3 of 9"/>
      <family val="3"/>
    </font>
    <font>
      <sz val="11"/>
      <color rgb="FF333333"/>
      <name val="Arial"/>
      <family val="2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333333"/>
      <name val="Arial"/>
      <family val="2"/>
      <charset val="204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8"/>
      <color rgb="FF333333"/>
      <name val="Arial"/>
      <family val="2"/>
      <charset val="204"/>
    </font>
    <font>
      <sz val="18"/>
      <color rgb="FF333333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26"/>
      <color theme="1"/>
      <name val="Free 3 of 9 Extended"/>
    </font>
    <font>
      <sz val="11"/>
      <color theme="1"/>
      <name val=" free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 vertical="center" wrapText="1" indent="2"/>
    </xf>
    <xf numFmtId="0" fontId="0" fillId="0" borderId="0" xfId="0" applyBorder="1"/>
    <xf numFmtId="0" fontId="0" fillId="2" borderId="0" xfId="0" applyFill="1" applyBorder="1"/>
    <xf numFmtId="0" fontId="3" fillId="2" borderId="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3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/>
      <protection locked="0"/>
    </xf>
    <xf numFmtId="0" fontId="6" fillId="2" borderId="0" xfId="0" applyFont="1" applyFill="1" applyBorder="1"/>
    <xf numFmtId="0" fontId="8" fillId="0" borderId="0" xfId="0" applyFont="1" applyAlignment="1">
      <alignment horizontal="left" wrapText="1"/>
    </xf>
    <xf numFmtId="0" fontId="9" fillId="3" borderId="0" xfId="0" applyFont="1" applyFill="1" applyBorder="1" applyAlignment="1">
      <alignment horizontal="center"/>
    </xf>
    <xf numFmtId="0" fontId="0" fillId="0" borderId="0" xfId="0" applyFont="1"/>
    <xf numFmtId="0" fontId="9" fillId="4" borderId="0" xfId="0" applyFont="1" applyFill="1" applyBorder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Font="1"/>
    <xf numFmtId="0" fontId="0" fillId="5" borderId="0" xfId="0" applyFill="1"/>
    <xf numFmtId="0" fontId="0" fillId="5" borderId="0" xfId="0" applyFill="1" applyBorder="1"/>
    <xf numFmtId="0" fontId="11" fillId="0" borderId="0" xfId="0" applyFont="1" applyAlignment="1">
      <alignment horizontal="left" wrapText="1"/>
    </xf>
    <xf numFmtId="0" fontId="12" fillId="0" borderId="0" xfId="0" applyFont="1" applyAlignment="1">
      <alignment horizontal="left" wrapText="1"/>
    </xf>
    <xf numFmtId="0" fontId="13" fillId="0" borderId="0" xfId="0" applyFont="1" applyBorder="1"/>
    <xf numFmtId="0" fontId="3" fillId="2" borderId="2" xfId="0" applyFont="1" applyFill="1" applyBorder="1" applyAlignment="1">
      <alignment vertical="top" wrapText="1"/>
    </xf>
    <xf numFmtId="0" fontId="3" fillId="2" borderId="3" xfId="0" applyFont="1" applyFill="1" applyBorder="1" applyAlignment="1">
      <alignment vertical="top" wrapText="1"/>
    </xf>
    <xf numFmtId="14" fontId="0" fillId="0" borderId="0" xfId="0" applyNumberFormat="1"/>
    <xf numFmtId="0" fontId="3" fillId="2" borderId="10" xfId="0" applyFont="1" applyFill="1" applyBorder="1" applyAlignment="1">
      <alignment vertical="top" wrapText="1"/>
    </xf>
    <xf numFmtId="0" fontId="3" fillId="2" borderId="1" xfId="0" applyFont="1" applyFill="1" applyBorder="1" applyAlignment="1">
      <alignment vertical="top" wrapText="1"/>
    </xf>
    <xf numFmtId="0" fontId="0" fillId="2" borderId="1" xfId="0" applyFill="1" applyBorder="1"/>
    <xf numFmtId="0" fontId="14" fillId="0" borderId="9" xfId="0" applyFont="1" applyBorder="1" applyAlignment="1" applyProtection="1">
      <alignment horizontal="left" indent="6"/>
      <protection locked="0"/>
    </xf>
    <xf numFmtId="0" fontId="14" fillId="0" borderId="5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5" fillId="0" borderId="0" xfId="0" applyFont="1"/>
    <xf numFmtId="0" fontId="15" fillId="0" borderId="0" xfId="0" applyFont="1" applyBorder="1"/>
    <xf numFmtId="0" fontId="14" fillId="0" borderId="9" xfId="0" applyFont="1" applyBorder="1" applyAlignment="1" applyProtection="1">
      <alignment horizontal="center"/>
      <protection locked="0"/>
    </xf>
    <xf numFmtId="14" fontId="3" fillId="2" borderId="2" xfId="0" applyNumberFormat="1" applyFont="1" applyFill="1" applyBorder="1" applyAlignment="1">
      <alignment vertical="top" wrapText="1"/>
    </xf>
    <xf numFmtId="14" fontId="3" fillId="2" borderId="3" xfId="0" applyNumberFormat="1" applyFont="1" applyFill="1" applyBorder="1" applyAlignment="1">
      <alignment vertical="top" wrapText="1"/>
    </xf>
    <xf numFmtId="0" fontId="0" fillId="2" borderId="11" xfId="0" applyFill="1" applyBorder="1"/>
    <xf numFmtId="0" fontId="0" fillId="2" borderId="12" xfId="0" applyFill="1" applyBorder="1"/>
    <xf numFmtId="14" fontId="0" fillId="2" borderId="12" xfId="0" applyNumberFormat="1" applyFill="1" applyBorder="1"/>
    <xf numFmtId="0" fontId="4" fillId="0" borderId="4" xfId="0" applyFont="1" applyBorder="1" applyAlignment="1">
      <alignment vertical="center"/>
    </xf>
    <xf numFmtId="0" fontId="4" fillId="0" borderId="4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3.bin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oleObject" Target="../embeddings/oleObject5.bin"/><Relationship Id="rId4" Type="http://schemas.openxmlformats.org/officeDocument/2006/relationships/oleObject" Target="../embeddings/oleObject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Y18"/>
  <sheetViews>
    <sheetView zoomScale="85" zoomScaleNormal="85" workbookViewId="0">
      <selection activeCell="B4" sqref="B4"/>
    </sheetView>
  </sheetViews>
  <sheetFormatPr defaultRowHeight="36.75" customHeight="1"/>
  <cols>
    <col min="1" max="1" width="9.5703125" customWidth="1"/>
    <col min="2" max="2" width="20" customWidth="1"/>
    <col min="3" max="3" width="29.4257812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20" max="20" width="11.140625" bestFit="1" customWidth="1"/>
    <col min="21" max="21" width="32" customWidth="1"/>
  </cols>
  <sheetData>
    <row r="1" spans="2:25" ht="27.75" customHeight="1" thickBot="1">
      <c r="B1" s="43" t="s">
        <v>5</v>
      </c>
      <c r="C1" s="43"/>
    </row>
    <row r="2" spans="2:25" ht="14.25" customHeight="1">
      <c r="B2" s="11" t="s">
        <v>3</v>
      </c>
      <c r="C2" s="12" t="s">
        <v>3</v>
      </c>
      <c r="O2" s="5"/>
      <c r="P2" s="5"/>
      <c r="Q2" s="5"/>
      <c r="R2" s="5"/>
      <c r="S2" s="5"/>
      <c r="T2" s="5"/>
      <c r="U2" s="5"/>
    </row>
    <row r="3" spans="2:25" ht="26.25" customHeight="1" thickBot="1">
      <c r="B3" s="13">
        <f>Q4</f>
        <v>19500</v>
      </c>
      <c r="C3" s="32" t="str">
        <f>G3</f>
        <v>*19500*</v>
      </c>
      <c r="F3" s="3" t="s">
        <v>0</v>
      </c>
      <c r="G3" s="21" t="str">
        <f t="shared" ref="G3" si="0">CONCATENATE(F3,B3,F3)</f>
        <v>*19500*</v>
      </c>
      <c r="O3" s="5"/>
      <c r="P3" s="29"/>
      <c r="Q3" s="29"/>
      <c r="R3" s="29"/>
      <c r="S3" s="29"/>
      <c r="T3" s="29"/>
      <c r="U3" s="29"/>
    </row>
    <row r="4" spans="2:25" ht="33" customHeight="1">
      <c r="B4" s="9" t="str">
        <f>P4</f>
        <v>ECUEB87153</v>
      </c>
      <c r="C4" s="33" t="str">
        <f>G4</f>
        <v>*ECUEB87153*</v>
      </c>
      <c r="E4" s="1"/>
      <c r="F4" t="s">
        <v>0</v>
      </c>
      <c r="G4" s="21" t="str">
        <f t="shared" ref="G4:G13" si="1">CONCATENATE(F4,B4,F4)</f>
        <v>*ECUEB87153*</v>
      </c>
      <c r="O4" s="16">
        <v>1</v>
      </c>
      <c r="P4" s="30" t="s">
        <v>11</v>
      </c>
      <c r="Q4" s="30">
        <v>19500</v>
      </c>
      <c r="R4" s="30" t="s">
        <v>1</v>
      </c>
      <c r="S4" s="30">
        <v>2018</v>
      </c>
      <c r="T4" s="30" t="s">
        <v>10</v>
      </c>
      <c r="U4" s="30" t="s">
        <v>2</v>
      </c>
    </row>
    <row r="5" spans="2:25" ht="30.75" customHeight="1">
      <c r="B5" s="9" t="str">
        <f t="shared" ref="B5:B13" si="2">P5</f>
        <v>ECUEB87094</v>
      </c>
      <c r="C5" s="34" t="str">
        <f t="shared" ref="C5:C13" si="3">G5</f>
        <v>*ECUEB87094*</v>
      </c>
      <c r="D5" s="5"/>
      <c r="F5" t="s">
        <v>0</v>
      </c>
      <c r="G5" s="21" t="str">
        <f t="shared" si="1"/>
        <v>*ECUEB87094*</v>
      </c>
      <c r="O5" s="16">
        <v>2</v>
      </c>
      <c r="P5" s="30" t="s">
        <v>12</v>
      </c>
      <c r="Q5" s="30">
        <v>19500</v>
      </c>
      <c r="R5" s="30" t="s">
        <v>1</v>
      </c>
      <c r="S5" s="30">
        <v>2018</v>
      </c>
      <c r="T5" s="30" t="s">
        <v>10</v>
      </c>
      <c r="U5" s="30" t="s">
        <v>2</v>
      </c>
    </row>
    <row r="6" spans="2:25" ht="33.75" customHeight="1">
      <c r="B6" s="9" t="str">
        <f t="shared" si="2"/>
        <v>ECUEB87286</v>
      </c>
      <c r="C6" s="34" t="str">
        <f t="shared" si="3"/>
        <v>*ECUEB87286*</v>
      </c>
      <c r="F6" t="s">
        <v>0</v>
      </c>
      <c r="G6" s="22" t="str">
        <f t="shared" si="1"/>
        <v>*ECUEB87286*</v>
      </c>
      <c r="O6" s="16">
        <v>3</v>
      </c>
      <c r="P6" s="30" t="s">
        <v>13</v>
      </c>
      <c r="Q6" s="30">
        <v>19500</v>
      </c>
      <c r="R6" s="30" t="s">
        <v>1</v>
      </c>
      <c r="S6" s="30">
        <v>2018</v>
      </c>
      <c r="T6" s="30" t="s">
        <v>10</v>
      </c>
      <c r="U6" s="30" t="s">
        <v>2</v>
      </c>
    </row>
    <row r="7" spans="2:25" ht="30.75" customHeight="1">
      <c r="B7" s="9" t="str">
        <f t="shared" si="2"/>
        <v>ECUEB87246</v>
      </c>
      <c r="C7" s="34" t="str">
        <f t="shared" si="3"/>
        <v>*ECUEB87246*</v>
      </c>
      <c r="F7" t="s">
        <v>0</v>
      </c>
      <c r="G7" s="21" t="str">
        <f t="shared" si="1"/>
        <v>*ECUEB87246*</v>
      </c>
      <c r="O7" s="16">
        <v>4</v>
      </c>
      <c r="P7" s="30" t="s">
        <v>14</v>
      </c>
      <c r="Q7" s="30">
        <v>19500</v>
      </c>
      <c r="R7" s="30" t="s">
        <v>1</v>
      </c>
      <c r="S7" s="30">
        <v>2018</v>
      </c>
      <c r="T7" s="30" t="s">
        <v>10</v>
      </c>
      <c r="U7" s="30" t="s">
        <v>2</v>
      </c>
    </row>
    <row r="8" spans="2:25" ht="33" customHeight="1">
      <c r="B8" s="9" t="str">
        <f t="shared" si="2"/>
        <v>ECUEB91759</v>
      </c>
      <c r="C8" s="34" t="str">
        <f t="shared" si="3"/>
        <v>*ECUEB91759*</v>
      </c>
      <c r="D8" s="5"/>
      <c r="F8" t="s">
        <v>0</v>
      </c>
      <c r="G8" s="21" t="str">
        <f t="shared" si="1"/>
        <v>*ECUEB91759*</v>
      </c>
      <c r="O8" s="16">
        <v>5</v>
      </c>
      <c r="P8" s="30" t="s">
        <v>15</v>
      </c>
      <c r="Q8" s="30">
        <v>19500</v>
      </c>
      <c r="R8" s="30" t="s">
        <v>1</v>
      </c>
      <c r="S8" s="30">
        <v>2018</v>
      </c>
      <c r="T8" s="30" t="s">
        <v>10</v>
      </c>
      <c r="U8" s="30" t="s">
        <v>2</v>
      </c>
    </row>
    <row r="9" spans="2:25" ht="30" customHeight="1">
      <c r="B9" s="9" t="str">
        <f t="shared" si="2"/>
        <v>ECUEB92025</v>
      </c>
      <c r="C9" s="34" t="str">
        <f t="shared" si="3"/>
        <v>*ECUEB92025*</v>
      </c>
      <c r="F9" t="s">
        <v>0</v>
      </c>
      <c r="G9" s="21" t="str">
        <f t="shared" si="1"/>
        <v>*ECUEB92025*</v>
      </c>
      <c r="O9" s="16">
        <v>6</v>
      </c>
      <c r="P9" s="30" t="s">
        <v>16</v>
      </c>
      <c r="Q9" s="30">
        <v>19500</v>
      </c>
      <c r="R9" s="30" t="s">
        <v>1</v>
      </c>
      <c r="S9" s="30">
        <v>2018</v>
      </c>
      <c r="T9" s="30" t="s">
        <v>10</v>
      </c>
      <c r="U9" s="30" t="s">
        <v>2</v>
      </c>
    </row>
    <row r="10" spans="2:25" ht="33" customHeight="1">
      <c r="B10" s="9" t="str">
        <f t="shared" si="2"/>
        <v>ECUEB91869</v>
      </c>
      <c r="C10" s="34" t="str">
        <f t="shared" si="3"/>
        <v>*ECUEB91869*</v>
      </c>
      <c r="F10" t="s">
        <v>0</v>
      </c>
      <c r="G10" s="21" t="str">
        <f t="shared" si="1"/>
        <v>*ECUEB91869*</v>
      </c>
      <c r="O10" s="16">
        <v>7</v>
      </c>
      <c r="P10" s="30" t="s">
        <v>17</v>
      </c>
      <c r="Q10" s="30">
        <v>19500</v>
      </c>
      <c r="R10" s="30" t="s">
        <v>1</v>
      </c>
      <c r="S10" s="30">
        <v>2018</v>
      </c>
      <c r="T10" s="30" t="s">
        <v>10</v>
      </c>
      <c r="U10" s="30" t="s">
        <v>2</v>
      </c>
    </row>
    <row r="11" spans="2:25" ht="30.75" customHeight="1">
      <c r="B11" s="9" t="str">
        <f t="shared" si="2"/>
        <v>ECUEB91675</v>
      </c>
      <c r="C11" s="34" t="str">
        <f t="shared" si="3"/>
        <v>*ECUEB91675*</v>
      </c>
      <c r="F11" t="s">
        <v>0</v>
      </c>
      <c r="G11" s="21" t="str">
        <f t="shared" si="1"/>
        <v>*ECUEB91675*</v>
      </c>
      <c r="O11" s="16">
        <v>8</v>
      </c>
      <c r="P11" s="30" t="s">
        <v>18</v>
      </c>
      <c r="Q11" s="30">
        <v>19500</v>
      </c>
      <c r="R11" s="30" t="s">
        <v>1</v>
      </c>
      <c r="S11" s="30">
        <v>2018</v>
      </c>
      <c r="T11" s="30" t="s">
        <v>10</v>
      </c>
      <c r="U11" s="30" t="s">
        <v>2</v>
      </c>
      <c r="Y11" t="s">
        <v>8</v>
      </c>
    </row>
    <row r="12" spans="2:25" ht="30.75" customHeight="1">
      <c r="B12" s="9" t="str">
        <f t="shared" si="2"/>
        <v>ECUEB91607</v>
      </c>
      <c r="C12" s="34" t="str">
        <f t="shared" si="3"/>
        <v>*ECUEB91607*</v>
      </c>
      <c r="F12" t="s">
        <v>0</v>
      </c>
      <c r="G12" s="21" t="str">
        <f t="shared" si="1"/>
        <v>*ECUEB91607*</v>
      </c>
      <c r="O12" s="16">
        <v>9</v>
      </c>
      <c r="P12" s="30" t="s">
        <v>19</v>
      </c>
      <c r="Q12" s="30">
        <v>19500</v>
      </c>
      <c r="R12" s="30" t="s">
        <v>1</v>
      </c>
      <c r="S12" s="30">
        <v>2018</v>
      </c>
      <c r="T12" s="30" t="s">
        <v>10</v>
      </c>
      <c r="U12" s="30" t="s">
        <v>2</v>
      </c>
    </row>
    <row r="13" spans="2:25" ht="33.75" customHeight="1">
      <c r="B13" s="9" t="str">
        <f t="shared" si="2"/>
        <v>ECUEB91860</v>
      </c>
      <c r="C13" s="34" t="str">
        <f t="shared" si="3"/>
        <v>*ECUEB91860*</v>
      </c>
      <c r="F13" t="s">
        <v>0</v>
      </c>
      <c r="G13" s="21" t="str">
        <f t="shared" si="1"/>
        <v>*ECUEB91860*</v>
      </c>
      <c r="O13" s="16">
        <v>10</v>
      </c>
      <c r="P13" s="30" t="s">
        <v>20</v>
      </c>
      <c r="Q13" s="31"/>
      <c r="R13" s="31"/>
      <c r="S13" s="31"/>
      <c r="T13" s="31"/>
      <c r="U13" s="31"/>
      <c r="X13" s="10"/>
    </row>
    <row r="14" spans="2:25" s="5" customFormat="1" ht="36.75" customHeight="1">
      <c r="B14" s="7"/>
      <c r="C14" s="8"/>
      <c r="P14"/>
      <c r="Q14"/>
      <c r="R14"/>
      <c r="S14"/>
      <c r="T14"/>
      <c r="U14"/>
    </row>
    <row r="15" spans="2:25" ht="36.75" customHeight="1">
      <c r="P15" s="24" t="s">
        <v>6</v>
      </c>
    </row>
    <row r="16" spans="2:25" ht="36.75" customHeight="1">
      <c r="P16" s="15" t="s">
        <v>7</v>
      </c>
    </row>
    <row r="17" spans="3:16" ht="36.75" customHeight="1">
      <c r="C17"/>
      <c r="P17" s="4"/>
    </row>
    <row r="18" spans="3:16" ht="36.75" customHeight="1">
      <c r="C18"/>
      <c r="P18" s="4"/>
    </row>
  </sheetData>
  <mergeCells count="1">
    <mergeCell ref="B1:C1"/>
  </mergeCells>
  <pageMargins left="2.2834645669291298" right="0" top="0.5" bottom="0.74803149606299202" header="0" footer="0.31496062992126"/>
  <pageSetup paperSize="9" orientation="portrait" r:id="rId1"/>
  <legacyDrawing r:id="rId2"/>
  <oleObjects>
    <oleObject progId="MS_ClipArt_Gallery" shapeId="1027" r:id="rId3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X18"/>
  <sheetViews>
    <sheetView zoomScale="85" zoomScaleNormal="85" workbookViewId="0">
      <selection activeCell="E7" sqref="E7"/>
    </sheetView>
  </sheetViews>
  <sheetFormatPr defaultRowHeight="36.75" customHeight="1"/>
  <cols>
    <col min="1" max="1" width="9.5703125" customWidth="1"/>
    <col min="2" max="2" width="20" customWidth="1"/>
    <col min="3" max="3" width="26.710937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20" max="20" width="11.140625" bestFit="1" customWidth="1"/>
    <col min="21" max="21" width="32" customWidth="1"/>
    <col min="22" max="22" width="9.140625" customWidth="1"/>
  </cols>
  <sheetData>
    <row r="1" spans="2:24" ht="31.5" customHeight="1" thickBot="1">
      <c r="B1" s="44" t="s">
        <v>9</v>
      </c>
      <c r="C1" s="44"/>
      <c r="O1" s="17"/>
    </row>
    <row r="2" spans="2:24" ht="13.5" customHeight="1">
      <c r="B2" s="11" t="s">
        <v>3</v>
      </c>
      <c r="C2" s="12" t="s">
        <v>3</v>
      </c>
      <c r="O2" s="5"/>
      <c r="P2" s="5"/>
      <c r="Q2" s="5"/>
      <c r="R2" s="5"/>
      <c r="S2" s="5"/>
      <c r="T2" s="5"/>
      <c r="U2" s="5"/>
    </row>
    <row r="3" spans="2:24" ht="28.5" customHeight="1" thickBot="1">
      <c r="B3" s="13">
        <f>Q4</f>
        <v>25328</v>
      </c>
      <c r="C3" s="37" t="str">
        <f>G3</f>
        <v>*25328*</v>
      </c>
      <c r="D3" s="35"/>
      <c r="F3" s="19" t="s">
        <v>0</v>
      </c>
      <c r="G3" t="str">
        <f t="shared" ref="G3:G13" si="0">CONCATENATE(F3,B3,F3)</f>
        <v>*25328*</v>
      </c>
      <c r="O3" s="5"/>
      <c r="P3" s="14" t="s">
        <v>4</v>
      </c>
      <c r="Q3" s="6"/>
      <c r="R3" s="6"/>
      <c r="S3" s="6"/>
      <c r="T3" s="6"/>
      <c r="U3" s="6"/>
    </row>
    <row r="4" spans="2:24" ht="32.25" customHeight="1" thickBot="1">
      <c r="B4" s="9" t="str">
        <f>P4</f>
        <v>EBUEC64291</v>
      </c>
      <c r="C4" s="33" t="str">
        <f>G4</f>
        <v>*EBUEC64291*</v>
      </c>
      <c r="D4" s="35"/>
      <c r="E4" s="1"/>
      <c r="F4" s="20" t="s">
        <v>0</v>
      </c>
      <c r="G4" t="str">
        <f t="shared" si="0"/>
        <v>*EBUEC64291*</v>
      </c>
      <c r="O4" s="18">
        <v>1</v>
      </c>
      <c r="P4" s="27" t="s">
        <v>21</v>
      </c>
      <c r="Q4" s="27">
        <v>25328</v>
      </c>
      <c r="R4" s="27" t="s">
        <v>1</v>
      </c>
      <c r="S4" s="27">
        <v>2018</v>
      </c>
      <c r="T4" s="39">
        <v>43368</v>
      </c>
      <c r="U4" s="27" t="s">
        <v>2</v>
      </c>
    </row>
    <row r="5" spans="2:24" ht="30.75" customHeight="1" thickBot="1">
      <c r="B5" s="9" t="str">
        <f t="shared" ref="B5:B13" si="1">P5</f>
        <v>EBUEC61115</v>
      </c>
      <c r="C5" s="34" t="str">
        <f t="shared" ref="C5:C13" si="2">G5</f>
        <v>*EBUEC61115*</v>
      </c>
      <c r="D5" s="36"/>
      <c r="F5" s="20" t="s">
        <v>0</v>
      </c>
      <c r="G5" t="str">
        <f t="shared" si="0"/>
        <v>*EBUEC61115*</v>
      </c>
      <c r="O5" s="18">
        <v>2</v>
      </c>
      <c r="P5" s="26" t="s">
        <v>22</v>
      </c>
      <c r="Q5" s="26">
        <v>25328</v>
      </c>
      <c r="R5" s="26" t="s">
        <v>1</v>
      </c>
      <c r="S5" s="26">
        <v>2018</v>
      </c>
      <c r="T5" s="38">
        <v>43369</v>
      </c>
      <c r="U5" s="26" t="s">
        <v>2</v>
      </c>
    </row>
    <row r="6" spans="2:24" ht="33.75" customHeight="1" thickBot="1">
      <c r="B6" s="9" t="str">
        <f t="shared" si="1"/>
        <v>EBUEC14314</v>
      </c>
      <c r="C6" s="34" t="str">
        <f t="shared" si="2"/>
        <v>*EBUEC14314*</v>
      </c>
      <c r="D6" s="35"/>
      <c r="F6" s="20" t="s">
        <v>0</v>
      </c>
      <c r="G6" s="5" t="str">
        <f t="shared" si="0"/>
        <v>*EBUEC14314*</v>
      </c>
      <c r="O6" s="18">
        <v>3</v>
      </c>
      <c r="P6" s="26" t="s">
        <v>23</v>
      </c>
      <c r="Q6" s="26">
        <v>25328</v>
      </c>
      <c r="R6" s="26" t="s">
        <v>1</v>
      </c>
      <c r="S6" s="26">
        <v>2018</v>
      </c>
      <c r="T6" s="38">
        <v>43369</v>
      </c>
      <c r="U6" s="26" t="s">
        <v>2</v>
      </c>
    </row>
    <row r="7" spans="2:24" ht="30.75" customHeight="1" thickBot="1">
      <c r="B7" s="9" t="str">
        <f t="shared" si="1"/>
        <v>EBUEC22844</v>
      </c>
      <c r="C7" s="34" t="str">
        <f t="shared" si="2"/>
        <v>*EBUEC22844*</v>
      </c>
      <c r="D7" s="35"/>
      <c r="F7" s="20" t="s">
        <v>0</v>
      </c>
      <c r="G7" t="str">
        <f t="shared" si="0"/>
        <v>*EBUEC22844*</v>
      </c>
      <c r="O7" s="18">
        <v>4</v>
      </c>
      <c r="P7" s="26" t="s">
        <v>24</v>
      </c>
      <c r="Q7" s="26">
        <v>25328</v>
      </c>
      <c r="R7" s="26" t="s">
        <v>1</v>
      </c>
      <c r="S7" s="26">
        <v>2018</v>
      </c>
      <c r="T7" s="38">
        <v>43369</v>
      </c>
      <c r="U7" s="26" t="s">
        <v>2</v>
      </c>
    </row>
    <row r="8" spans="2:24" ht="33" customHeight="1" thickBot="1">
      <c r="B8" s="9" t="str">
        <f t="shared" si="1"/>
        <v>EBUEC27099</v>
      </c>
      <c r="C8" s="34" t="str">
        <f t="shared" si="2"/>
        <v>*EBUEC27099*</v>
      </c>
      <c r="D8" s="36"/>
      <c r="F8" s="20" t="s">
        <v>0</v>
      </c>
      <c r="G8" t="str">
        <f t="shared" si="0"/>
        <v>*EBUEC27099*</v>
      </c>
      <c r="O8" s="18">
        <v>5</v>
      </c>
      <c r="P8" s="26" t="s">
        <v>25</v>
      </c>
      <c r="Q8" s="26">
        <v>25328</v>
      </c>
      <c r="R8" s="26" t="s">
        <v>1</v>
      </c>
      <c r="S8" s="26">
        <v>2018</v>
      </c>
      <c r="T8" s="38">
        <v>43369</v>
      </c>
      <c r="U8" s="26" t="s">
        <v>2</v>
      </c>
    </row>
    <row r="9" spans="2:24" ht="30" customHeight="1" thickBot="1">
      <c r="B9" s="9" t="str">
        <f t="shared" si="1"/>
        <v>EBUEC74711</v>
      </c>
      <c r="C9" s="34" t="str">
        <f t="shared" si="2"/>
        <v>*EBUEC74711*</v>
      </c>
      <c r="D9" s="35"/>
      <c r="F9" s="20" t="s">
        <v>0</v>
      </c>
      <c r="G9" t="str">
        <f t="shared" si="0"/>
        <v>*EBUEC74711*</v>
      </c>
      <c r="O9" s="18">
        <v>6</v>
      </c>
      <c r="P9" s="26" t="s">
        <v>26</v>
      </c>
      <c r="Q9" s="26">
        <v>25328</v>
      </c>
      <c r="R9" s="26" t="s">
        <v>1</v>
      </c>
      <c r="S9" s="26">
        <v>2018</v>
      </c>
      <c r="T9" s="38">
        <v>43369</v>
      </c>
      <c r="U9" s="26" t="s">
        <v>2</v>
      </c>
    </row>
    <row r="10" spans="2:24" ht="33" customHeight="1" thickBot="1">
      <c r="B10" s="9" t="str">
        <f t="shared" si="1"/>
        <v>EBUEC19978</v>
      </c>
      <c r="C10" s="34" t="str">
        <f t="shared" si="2"/>
        <v>*EBUEC19978*</v>
      </c>
      <c r="D10" s="35"/>
      <c r="F10" s="20" t="s">
        <v>0</v>
      </c>
      <c r="G10" t="str">
        <f t="shared" si="0"/>
        <v>*EBUEC19978*</v>
      </c>
      <c r="O10" s="18">
        <v>7</v>
      </c>
      <c r="P10" s="26" t="s">
        <v>27</v>
      </c>
      <c r="Q10" s="26">
        <v>25328</v>
      </c>
      <c r="R10" s="26" t="s">
        <v>1</v>
      </c>
      <c r="S10" s="26">
        <v>2018</v>
      </c>
      <c r="T10" s="38">
        <v>43369</v>
      </c>
      <c r="U10" s="26" t="s">
        <v>2</v>
      </c>
    </row>
    <row r="11" spans="2:24" ht="30.75" customHeight="1" thickBot="1">
      <c r="B11" s="9" t="str">
        <f t="shared" si="1"/>
        <v>EBUEC74217</v>
      </c>
      <c r="C11" s="34" t="str">
        <f t="shared" si="2"/>
        <v>*EBUEC74217*</v>
      </c>
      <c r="D11" s="35"/>
      <c r="F11" s="20" t="s">
        <v>0</v>
      </c>
      <c r="G11" t="str">
        <f t="shared" si="0"/>
        <v>*EBUEC74217*</v>
      </c>
      <c r="O11" s="18">
        <v>8</v>
      </c>
      <c r="P11" s="26" t="s">
        <v>28</v>
      </c>
      <c r="Q11" s="26">
        <v>25328</v>
      </c>
      <c r="R11" s="26" t="s">
        <v>1</v>
      </c>
      <c r="S11" s="26">
        <v>2018</v>
      </c>
      <c r="T11" s="38">
        <v>43369</v>
      </c>
      <c r="U11" s="26" t="s">
        <v>2</v>
      </c>
    </row>
    <row r="12" spans="2:24" ht="30.75" customHeight="1" thickBot="1">
      <c r="B12" s="9" t="str">
        <f t="shared" si="1"/>
        <v>EBUEC75955</v>
      </c>
      <c r="C12" s="34" t="str">
        <f t="shared" si="2"/>
        <v>*EBUEC75955*</v>
      </c>
      <c r="D12" s="35"/>
      <c r="F12" s="20" t="s">
        <v>0</v>
      </c>
      <c r="G12" t="str">
        <f t="shared" si="0"/>
        <v>*EBUEC75955*</v>
      </c>
      <c r="O12" s="18">
        <v>9</v>
      </c>
      <c r="P12" s="26" t="s">
        <v>29</v>
      </c>
      <c r="Q12" s="26">
        <v>25328</v>
      </c>
      <c r="R12" s="26" t="s">
        <v>1</v>
      </c>
      <c r="S12" s="26">
        <v>2018</v>
      </c>
      <c r="T12" s="38">
        <v>43369</v>
      </c>
      <c r="U12" s="26" t="s">
        <v>2</v>
      </c>
    </row>
    <row r="13" spans="2:24" ht="31.5" customHeight="1">
      <c r="B13" s="9" t="str">
        <f t="shared" si="1"/>
        <v>EBUEC65253</v>
      </c>
      <c r="C13" s="34" t="str">
        <f t="shared" si="2"/>
        <v>*EBUEC65253*</v>
      </c>
      <c r="D13" s="35"/>
      <c r="F13" s="20" t="s">
        <v>0</v>
      </c>
      <c r="G13" t="str">
        <f t="shared" si="0"/>
        <v>*EBUEC65253*</v>
      </c>
      <c r="O13" s="18">
        <v>10</v>
      </c>
      <c r="P13" s="26" t="s">
        <v>30</v>
      </c>
      <c r="Q13" s="26">
        <v>25328</v>
      </c>
      <c r="R13" s="26" t="s">
        <v>1</v>
      </c>
      <c r="S13" s="26">
        <v>2018</v>
      </c>
      <c r="T13" s="38">
        <v>43369</v>
      </c>
      <c r="U13" s="40"/>
      <c r="X13" s="10"/>
    </row>
    <row r="14" spans="2:24" s="5" customFormat="1" ht="36.75" customHeight="1">
      <c r="B14" s="7"/>
      <c r="C14" s="8"/>
      <c r="D14" s="25"/>
      <c r="P14"/>
      <c r="Q14"/>
      <c r="R14"/>
      <c r="S14"/>
      <c r="T14"/>
      <c r="U14"/>
    </row>
    <row r="15" spans="2:24" ht="36.75" customHeight="1">
      <c r="P15" s="23" t="s">
        <v>6</v>
      </c>
    </row>
    <row r="16" spans="2:24" ht="36.75" customHeight="1">
      <c r="P16" s="15" t="s">
        <v>7</v>
      </c>
    </row>
    <row r="17" spans="16:16" customFormat="1" ht="36.75" customHeight="1">
      <c r="P17" s="4"/>
    </row>
    <row r="18" spans="16:16" customFormat="1" ht="36.75" customHeight="1">
      <c r="P18" s="4"/>
    </row>
  </sheetData>
  <mergeCells count="1">
    <mergeCell ref="B1:C1"/>
  </mergeCells>
  <pageMargins left="2.5" right="1.2" top="0.5" bottom="0.75" header="0.3" footer="0.3"/>
  <pageSetup orientation="portrait" r:id="rId1"/>
  <legacyDrawing r:id="rId2"/>
  <oleObjects>
    <oleObject progId="MS_ClipArt_Gallery" shapeId="4097" r:id="rId3"/>
  </oleObjec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22"/>
  <sheetViews>
    <sheetView workbookViewId="0">
      <selection activeCell="E11" sqref="E11"/>
    </sheetView>
  </sheetViews>
  <sheetFormatPr defaultRowHeight="15"/>
  <cols>
    <col min="2" max="2" width="21.5703125" bestFit="1" customWidth="1"/>
  </cols>
  <sheetData>
    <row r="1" spans="1:1">
      <c r="A1">
        <v>25000</v>
      </c>
    </row>
    <row r="2" spans="1:1">
      <c r="A2">
        <v>25001</v>
      </c>
    </row>
    <row r="3" spans="1:1">
      <c r="A3">
        <v>25002</v>
      </c>
    </row>
    <row r="4" spans="1:1">
      <c r="A4">
        <v>25003</v>
      </c>
    </row>
    <row r="5" spans="1:1">
      <c r="A5">
        <v>25004</v>
      </c>
    </row>
    <row r="6" spans="1:1">
      <c r="A6">
        <v>25005</v>
      </c>
    </row>
    <row r="7" spans="1:1">
      <c r="A7">
        <v>25006</v>
      </c>
    </row>
    <row r="8" spans="1:1">
      <c r="A8">
        <v>25007</v>
      </c>
    </row>
    <row r="9" spans="1:1">
      <c r="A9">
        <v>25008</v>
      </c>
    </row>
    <row r="10" spans="1:1">
      <c r="A10">
        <v>25009</v>
      </c>
    </row>
    <row r="11" spans="1:1">
      <c r="A11">
        <v>2501000</v>
      </c>
    </row>
    <row r="12" spans="1:1">
      <c r="A12">
        <v>25011</v>
      </c>
    </row>
    <row r="13" spans="1:1">
      <c r="A13">
        <v>25012</v>
      </c>
    </row>
    <row r="14" spans="1:1">
      <c r="A14">
        <v>25013</v>
      </c>
    </row>
    <row r="15" spans="1:1">
      <c r="A15">
        <v>25014</v>
      </c>
    </row>
    <row r="16" spans="1:1">
      <c r="A16">
        <v>25015</v>
      </c>
    </row>
    <row r="17" spans="1:1">
      <c r="A17">
        <v>25016</v>
      </c>
    </row>
    <row r="18" spans="1:1">
      <c r="A18">
        <v>25017</v>
      </c>
    </row>
    <row r="19" spans="1:1">
      <c r="A19">
        <v>25018</v>
      </c>
    </row>
    <row r="20" spans="1:1">
      <c r="A20">
        <v>25019</v>
      </c>
    </row>
    <row r="21" spans="1:1">
      <c r="A21">
        <v>25020</v>
      </c>
    </row>
    <row r="22" spans="1:1">
      <c r="A22">
        <v>25021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Y27"/>
  <sheetViews>
    <sheetView tabSelected="1" zoomScale="85" zoomScaleNormal="85" zoomScaleSheetLayoutView="85" workbookViewId="0">
      <selection activeCell="C13" sqref="B1:C13"/>
    </sheetView>
  </sheetViews>
  <sheetFormatPr defaultRowHeight="36.75" customHeight="1"/>
  <cols>
    <col min="1" max="1" width="13.28515625" customWidth="1"/>
    <col min="2" max="2" width="18.28515625" customWidth="1"/>
    <col min="3" max="3" width="26.2851562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20" max="20" width="11.140625" bestFit="1" customWidth="1"/>
    <col min="21" max="21" width="32" customWidth="1"/>
  </cols>
  <sheetData>
    <row r="1" spans="2:25" ht="27.75" customHeight="1" thickBot="1">
      <c r="B1" s="43" t="s">
        <v>31</v>
      </c>
      <c r="C1" s="43"/>
    </row>
    <row r="2" spans="2:25" ht="14.25" customHeight="1">
      <c r="B2" s="11" t="s">
        <v>3</v>
      </c>
      <c r="C2" s="12" t="s">
        <v>3</v>
      </c>
      <c r="O2" s="5"/>
      <c r="P2" s="5"/>
      <c r="Q2" s="5"/>
      <c r="R2" s="5"/>
      <c r="S2" s="5"/>
      <c r="T2" s="5"/>
      <c r="U2" s="5"/>
    </row>
    <row r="3" spans="2:25" ht="26.25" customHeight="1" thickBot="1">
      <c r="B3" s="13">
        <f>Q4</f>
        <v>25000</v>
      </c>
      <c r="C3" s="32" t="str">
        <f>G3</f>
        <v>*25000*</v>
      </c>
      <c r="F3" s="3" t="s">
        <v>0</v>
      </c>
      <c r="G3" s="21" t="str">
        <f t="shared" ref="G3:G13" si="0">CONCATENATE(F3,B3,F3)</f>
        <v>*25000*</v>
      </c>
      <c r="O3" s="5"/>
      <c r="P3" s="29"/>
      <c r="Q3" s="29"/>
      <c r="R3" s="29"/>
      <c r="S3" s="29"/>
      <c r="T3" s="29"/>
      <c r="U3" s="29"/>
    </row>
    <row r="4" spans="2:25" ht="33" customHeight="1" thickBot="1">
      <c r="B4" s="9" t="str">
        <f>P4</f>
        <v>EBUEC70415</v>
      </c>
      <c r="C4" s="33" t="str">
        <f>G4</f>
        <v>*EBUEC70415*</v>
      </c>
      <c r="E4" s="1"/>
      <c r="F4" t="s">
        <v>0</v>
      </c>
      <c r="G4" s="21" t="str">
        <f t="shared" si="0"/>
        <v>*EBUEC70415*</v>
      </c>
      <c r="O4" s="16">
        <v>1</v>
      </c>
      <c r="P4" s="27" t="s">
        <v>32</v>
      </c>
      <c r="Q4" s="27">
        <v>25000</v>
      </c>
      <c r="R4" s="27" t="s">
        <v>1</v>
      </c>
      <c r="S4" s="27">
        <v>2018</v>
      </c>
      <c r="T4" s="39">
        <v>43368</v>
      </c>
      <c r="U4" s="27" t="s">
        <v>33</v>
      </c>
    </row>
    <row r="5" spans="2:25" ht="30.75" customHeight="1" thickBot="1">
      <c r="B5" s="9" t="str">
        <f t="shared" ref="B5:B13" si="1">P5</f>
        <v>EBUEC72180</v>
      </c>
      <c r="C5" s="34" t="str">
        <f t="shared" ref="C5:C13" si="2">G5</f>
        <v>*EBUEC72180*</v>
      </c>
      <c r="D5" s="5"/>
      <c r="F5" t="s">
        <v>0</v>
      </c>
      <c r="G5" s="21" t="str">
        <f t="shared" si="0"/>
        <v>*EBUEC72180*</v>
      </c>
      <c r="O5" s="16">
        <v>2</v>
      </c>
      <c r="P5" s="26" t="s">
        <v>34</v>
      </c>
      <c r="Q5" s="26">
        <v>25000</v>
      </c>
      <c r="R5" s="26" t="s">
        <v>1</v>
      </c>
      <c r="S5" s="26">
        <v>2018</v>
      </c>
      <c r="T5" s="38">
        <v>43368</v>
      </c>
      <c r="U5" s="26" t="s">
        <v>33</v>
      </c>
    </row>
    <row r="6" spans="2:25" ht="33.75" customHeight="1" thickBot="1">
      <c r="B6" s="9" t="str">
        <f t="shared" si="1"/>
        <v>EBUEC59579</v>
      </c>
      <c r="C6" s="34" t="str">
        <f t="shared" si="2"/>
        <v>*EBUEC59579*</v>
      </c>
      <c r="F6" t="s">
        <v>0</v>
      </c>
      <c r="G6" s="22" t="str">
        <f t="shared" si="0"/>
        <v>*EBUEC59579*</v>
      </c>
      <c r="O6" s="16">
        <v>3</v>
      </c>
      <c r="P6" s="26" t="s">
        <v>35</v>
      </c>
      <c r="Q6" s="26">
        <v>25000</v>
      </c>
      <c r="R6" s="26" t="s">
        <v>1</v>
      </c>
      <c r="S6" s="26">
        <v>2018</v>
      </c>
      <c r="T6" s="38">
        <v>43368</v>
      </c>
      <c r="U6" s="26" t="s">
        <v>33</v>
      </c>
    </row>
    <row r="7" spans="2:25" ht="30.75" customHeight="1" thickBot="1">
      <c r="B7" s="9" t="str">
        <f t="shared" si="1"/>
        <v>EBUEC70945</v>
      </c>
      <c r="C7" s="34" t="str">
        <f t="shared" si="2"/>
        <v>*EBUEC70945*</v>
      </c>
      <c r="F7" t="s">
        <v>0</v>
      </c>
      <c r="G7" s="21" t="str">
        <f t="shared" si="0"/>
        <v>*EBUEC70945*</v>
      </c>
      <c r="O7" s="16">
        <v>4</v>
      </c>
      <c r="P7" s="26" t="s">
        <v>36</v>
      </c>
      <c r="Q7" s="26">
        <v>25000</v>
      </c>
      <c r="R7" s="26" t="s">
        <v>1</v>
      </c>
      <c r="S7" s="26">
        <v>2018</v>
      </c>
      <c r="T7" s="38">
        <v>43368</v>
      </c>
      <c r="U7" s="26" t="s">
        <v>33</v>
      </c>
    </row>
    <row r="8" spans="2:25" ht="33" customHeight="1" thickBot="1">
      <c r="B8" s="9" t="str">
        <f t="shared" si="1"/>
        <v>EBUEC74948</v>
      </c>
      <c r="C8" s="34" t="str">
        <f t="shared" si="2"/>
        <v>*EBUEC74948*</v>
      </c>
      <c r="D8" s="5"/>
      <c r="F8" t="s">
        <v>0</v>
      </c>
      <c r="G8" s="21" t="str">
        <f t="shared" si="0"/>
        <v>*EBUEC74948*</v>
      </c>
      <c r="O8" s="16">
        <v>5</v>
      </c>
      <c r="P8" s="26" t="s">
        <v>37</v>
      </c>
      <c r="Q8" s="26">
        <v>25000</v>
      </c>
      <c r="R8" s="26" t="s">
        <v>1</v>
      </c>
      <c r="S8" s="26">
        <v>2018</v>
      </c>
      <c r="T8" s="38">
        <v>43368</v>
      </c>
      <c r="U8" s="26" t="s">
        <v>33</v>
      </c>
    </row>
    <row r="9" spans="2:25" ht="30" customHeight="1" thickBot="1">
      <c r="B9" s="9" t="str">
        <f t="shared" si="1"/>
        <v>EBUEC73244</v>
      </c>
      <c r="C9" s="34" t="str">
        <f t="shared" si="2"/>
        <v>*EBUEC73244*</v>
      </c>
      <c r="F9" t="s">
        <v>0</v>
      </c>
      <c r="G9" s="21" t="str">
        <f t="shared" si="0"/>
        <v>*EBUEC73244*</v>
      </c>
      <c r="O9" s="16">
        <v>6</v>
      </c>
      <c r="P9" s="26" t="s">
        <v>38</v>
      </c>
      <c r="Q9" s="26">
        <v>25000</v>
      </c>
      <c r="R9" s="26" t="s">
        <v>1</v>
      </c>
      <c r="S9" s="26">
        <v>2018</v>
      </c>
      <c r="T9" s="38">
        <v>43368</v>
      </c>
      <c r="U9" s="26" t="s">
        <v>33</v>
      </c>
    </row>
    <row r="10" spans="2:25" ht="33" customHeight="1" thickBot="1">
      <c r="B10" s="9" t="str">
        <f t="shared" si="1"/>
        <v>EBUEC59797</v>
      </c>
      <c r="C10" s="34" t="str">
        <f t="shared" si="2"/>
        <v>*EBUEC59797*</v>
      </c>
      <c r="F10" t="s">
        <v>0</v>
      </c>
      <c r="G10" s="21" t="str">
        <f t="shared" si="0"/>
        <v>*EBUEC59797*</v>
      </c>
      <c r="O10" s="16">
        <v>7</v>
      </c>
      <c r="P10" s="26" t="s">
        <v>39</v>
      </c>
      <c r="Q10" s="26">
        <v>25000</v>
      </c>
      <c r="R10" s="26" t="s">
        <v>1</v>
      </c>
      <c r="S10" s="26">
        <v>2018</v>
      </c>
      <c r="T10" s="38">
        <v>43368</v>
      </c>
      <c r="U10" s="26" t="s">
        <v>33</v>
      </c>
    </row>
    <row r="11" spans="2:25" ht="30.75" customHeight="1" thickBot="1">
      <c r="B11" s="9" t="str">
        <f t="shared" si="1"/>
        <v>EBUEC73477</v>
      </c>
      <c r="C11" s="34" t="str">
        <f t="shared" si="2"/>
        <v>*EBUEC73477*</v>
      </c>
      <c r="F11" t="s">
        <v>0</v>
      </c>
      <c r="G11" s="21" t="str">
        <f t="shared" si="0"/>
        <v>*EBUEC73477*</v>
      </c>
      <c r="O11" s="16">
        <v>8</v>
      </c>
      <c r="P11" s="26" t="s">
        <v>40</v>
      </c>
      <c r="Q11" s="26">
        <v>25000</v>
      </c>
      <c r="R11" s="26" t="s">
        <v>1</v>
      </c>
      <c r="S11" s="26">
        <v>2018</v>
      </c>
      <c r="T11" s="38">
        <v>43368</v>
      </c>
      <c r="U11" s="26" t="s">
        <v>33</v>
      </c>
      <c r="Y11" t="s">
        <v>8</v>
      </c>
    </row>
    <row r="12" spans="2:25" ht="30.75" customHeight="1" thickBot="1">
      <c r="B12" s="9" t="str">
        <f t="shared" si="1"/>
        <v>EBUEC58184</v>
      </c>
      <c r="C12" s="34" t="str">
        <f t="shared" si="2"/>
        <v>*EBUEC58184*</v>
      </c>
      <c r="F12" t="s">
        <v>0</v>
      </c>
      <c r="G12" s="21" t="str">
        <f t="shared" si="0"/>
        <v>*EBUEC58184*</v>
      </c>
      <c r="O12" s="16">
        <v>9</v>
      </c>
      <c r="P12" s="26" t="s">
        <v>41</v>
      </c>
      <c r="Q12" s="26">
        <v>25000</v>
      </c>
      <c r="R12" s="26" t="s">
        <v>1</v>
      </c>
      <c r="S12" s="26">
        <v>2018</v>
      </c>
      <c r="T12" s="38">
        <v>43368</v>
      </c>
      <c r="U12" s="26" t="s">
        <v>33</v>
      </c>
    </row>
    <row r="13" spans="2:25" ht="33.75" customHeight="1">
      <c r="B13" s="9" t="str">
        <f t="shared" si="1"/>
        <v>EBUEC18277</v>
      </c>
      <c r="C13" s="34" t="str">
        <f t="shared" si="2"/>
        <v>*EBUEC18277*</v>
      </c>
      <c r="F13" t="s">
        <v>0</v>
      </c>
      <c r="G13" s="21" t="str">
        <f t="shared" si="0"/>
        <v>*EBUEC18277*</v>
      </c>
      <c r="O13" s="16">
        <v>10</v>
      </c>
      <c r="P13" s="26" t="s">
        <v>42</v>
      </c>
      <c r="Q13" s="26">
        <v>25000</v>
      </c>
      <c r="R13" s="26" t="s">
        <v>1</v>
      </c>
      <c r="S13" s="41">
        <v>2018</v>
      </c>
      <c r="T13" s="42">
        <v>43368</v>
      </c>
      <c r="U13" s="40" t="s">
        <v>33</v>
      </c>
      <c r="X13" s="10"/>
    </row>
    <row r="14" spans="2:25" s="5" customFormat="1" ht="36.75" customHeight="1">
      <c r="B14" s="7"/>
      <c r="C14" s="8"/>
      <c r="P14"/>
      <c r="Q14"/>
      <c r="R14"/>
      <c r="S14"/>
      <c r="T14"/>
      <c r="U14"/>
    </row>
    <row r="15" spans="2:25" ht="36.75" customHeight="1">
      <c r="P15" s="24" t="s">
        <v>6</v>
      </c>
    </row>
    <row r="16" spans="2:25" ht="36.75" customHeight="1">
      <c r="P16" s="15" t="s">
        <v>7</v>
      </c>
    </row>
    <row r="17" spans="3:20" ht="36.75" customHeight="1">
      <c r="C17"/>
      <c r="P17" s="4"/>
    </row>
    <row r="18" spans="3:20" ht="36.75" customHeight="1">
      <c r="C18"/>
      <c r="P18" s="4"/>
      <c r="T18" s="28"/>
    </row>
    <row r="19" spans="3:20" ht="36.75" customHeight="1">
      <c r="T19" s="28"/>
    </row>
    <row r="20" spans="3:20" ht="36.75" customHeight="1">
      <c r="T20" s="28"/>
    </row>
    <row r="21" spans="3:20" ht="36.75" customHeight="1">
      <c r="T21" s="28"/>
    </row>
    <row r="22" spans="3:20" ht="36.75" customHeight="1">
      <c r="T22" s="28"/>
    </row>
    <row r="23" spans="3:20" ht="36.75" customHeight="1">
      <c r="T23" s="28"/>
    </row>
    <row r="24" spans="3:20" ht="36.75" customHeight="1">
      <c r="T24" s="28"/>
    </row>
    <row r="25" spans="3:20" ht="36.75" customHeight="1">
      <c r="T25" s="28"/>
    </row>
    <row r="26" spans="3:20" ht="36.75" customHeight="1">
      <c r="T26" s="28"/>
    </row>
    <row r="27" spans="3:20" ht="36.75" customHeight="1">
      <c r="T27" s="28"/>
    </row>
  </sheetData>
  <mergeCells count="1">
    <mergeCell ref="B1:C1"/>
  </mergeCells>
  <pageMargins left="2.4" right="0" top="0.5" bottom="0.75" header="0.3" footer="0.3"/>
  <pageSetup orientation="portrait" horizontalDpi="300" verticalDpi="300" r:id="rId1"/>
  <legacyDrawing r:id="rId2"/>
  <oleObjects>
    <oleObject progId="MS_ClipArt_Gallery" shapeId="7169" r:id="rId3"/>
    <oleObject progId="MS_ClipArt_Gallery" shapeId="7170" r:id="rId4"/>
    <oleObject progId="MS_ClipArt_Gallery" shapeId="7171" r:id="rId5"/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CU</vt:lpstr>
      <vt:lpstr>BU</vt:lpstr>
      <vt:lpstr>BOX COUNT</vt:lpstr>
      <vt:lpstr>Sheet3</vt:lpstr>
      <vt:lpstr>BU!Print_Area</vt:lpstr>
      <vt:lpstr>CU!Print_Area</vt:lpstr>
      <vt:lpstr>Sheet3!Print_Area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2018-10-04T09:52:47Z</dcterms:modified>
</cp:coreProperties>
</file>